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orización" sheetId="1" state="visible" r:id="rId3"/>
    <sheet name="Metodología" sheetId="2" state="visible" r:id="rId4"/>
    <sheet name="Análisis Crític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<sst xmlns="http://schemas.openxmlformats.org/spreadsheetml/2006/main" count="100" uniqueCount="100">
  <si>
    <t xml:space="preserve">MATRIZ DE PRIORIZACIÓN - CSP Schedule Solver</t>
  </si>
  <si>
    <t xml:space="preserve">User Story</t>
  </si>
  <si>
    <t xml:space="preserve">Descripción</t>
  </si>
  <si>
    <t xml:space="preserve">Valor (1-10)</t>
  </si>
  <si>
    <t xml:space="preserve">Riesgo (1-10)</t>
  </si>
  <si>
    <t xml:space="preserve">Complejidad (1-10)</t>
  </si>
  <si>
    <t xml:space="preserve">Impacto Rúbrica</t>
  </si>
  <si>
    <t xml:space="preserve">Puntuación Total</t>
  </si>
  <si>
    <t xml:space="preserve">Prioridad</t>
  </si>
  <si>
    <t xml:space="preserve">HU-05</t>
  </si>
  <si>
    <t xml:space="preserve">Motor CSP - Generación Horarios</t>
  </si>
  <si>
    <t xml:space="preserve">1</t>
  </si>
  <si>
    <t xml:space="preserve">HU-06</t>
  </si>
  <si>
    <t xml:space="preserve">Detección de Conflictos</t>
  </si>
  <si>
    <t xml:space="preserve">2</t>
  </si>
  <si>
    <t xml:space="preserve">HU-08</t>
  </si>
  <si>
    <t xml:space="preserve">Visualización de Horarios</t>
  </si>
  <si>
    <t xml:space="preserve">3</t>
  </si>
  <si>
    <t xml:space="preserve">HU-12</t>
  </si>
  <si>
    <t xml:space="preserve">Testing &amp; QA</t>
  </si>
  <si>
    <t xml:space="preserve">4</t>
  </si>
  <si>
    <t xml:space="preserve">HU-07</t>
  </si>
  <si>
    <t xml:space="preserve">Optimización Restricciones Blandas</t>
  </si>
  <si>
    <t xml:space="preserve">5</t>
  </si>
  <si>
    <t xml:space="preserve">HU-09</t>
  </si>
  <si>
    <t xml:space="preserve">Exportación de Horarios</t>
  </si>
  <si>
    <t xml:space="preserve">6</t>
  </si>
  <si>
    <t xml:space="preserve">HU-04</t>
  </si>
  <si>
    <t xml:space="preserve">Disponibilidad de Docentes</t>
  </si>
  <si>
    <t xml:space="preserve">7</t>
  </si>
  <si>
    <t xml:space="preserve">HU-01</t>
  </si>
  <si>
    <t xml:space="preserve">Gestión de Docentes</t>
  </si>
  <si>
    <t xml:space="preserve">8</t>
  </si>
  <si>
    <t xml:space="preserve">HU-02</t>
  </si>
  <si>
    <t xml:space="preserve">Gestión de Cursos</t>
  </si>
  <si>
    <t xml:space="preserve">9</t>
  </si>
  <si>
    <t xml:space="preserve">HU-03</t>
  </si>
  <si>
    <t xml:space="preserve">Gestión de Aulas</t>
  </si>
  <si>
    <t xml:space="preserve">10</t>
  </si>
  <si>
    <t xml:space="preserve">HU-11</t>
  </si>
  <si>
    <t xml:space="preserve">Login</t>
  </si>
  <si>
    <t xml:space="preserve">11</t>
  </si>
  <si>
    <t xml:space="preserve">HU-10</t>
  </si>
  <si>
    <t xml:space="preserve">Registro de Usuarios</t>
  </si>
  <si>
    <t xml:space="preserve">12</t>
  </si>
  <si>
    <t xml:space="preserve">HU-13</t>
  </si>
  <si>
    <t xml:space="preserve">Mejoras de Rendimiento</t>
  </si>
  <si>
    <t xml:space="preserve">13</t>
  </si>
  <si>
    <t xml:space="preserve">HU-14</t>
  </si>
  <si>
    <t xml:space="preserve">Integración Final</t>
  </si>
  <si>
    <t xml:space="preserve">14</t>
  </si>
  <si>
    <t xml:space="preserve">METODOLOGÍA DE PRIORIZACIÓN</t>
  </si>
  <si>
    <t xml:space="preserve">1. CRITERIOS DE EVALUACIÓN</t>
  </si>
  <si>
    <t xml:space="preserve">• Valor (V)</t>
  </si>
  <si>
    <t xml:space="preserve">Impacto en rúbrica académica y objetivos del proyecto (1-10)</t>
  </si>
  <si>
    <t xml:space="preserve">• Riesgo (R)</t>
  </si>
  <si>
    <t xml:space="preserve">Probabilidad de fallo o retrasos (1-10, inverso en fórmula)</t>
  </si>
  <si>
    <t xml:space="preserve">• Complejidad (C)</t>
  </si>
  <si>
    <t xml:space="preserve">Effort requerido, 1-10 (inverso: tareas simples prioridad)</t>
  </si>
  <si>
    <t xml:space="preserve">• Impacto Rúbrica</t>
  </si>
  <si>
    <t xml:space="preserve">Puntos que aporta a evaluación final (1-10)</t>
  </si>
  <si>
    <t xml:space="preserve">2. FÓRMULA DE PUNTUACIÓN</t>
  </si>
  <si>
    <t xml:space="preserve">Puntuación = (V × 0.35) + ((10 - R) × 0.35) + ((10 - C) × 0.20) + (Impacto × 0.10)</t>
  </si>
  <si>
    <t xml:space="preserve">Ponderaciones:</t>
  </si>
  <si>
    <t xml:space="preserve">• Valor: 35% (qué tan importante es)</t>
  </si>
  <si>
    <t xml:space="preserve">• Riesgo Inverso: 35% (evitar tareas riesgosas primero)</t>
  </si>
  <si>
    <t xml:space="preserve">• Complejidad Inversa: 20% (preferir tareas simples)</t>
  </si>
  <si>
    <t xml:space="preserve">• Impacto Rúbrica: 10% (bonus para Sobresaliente)</t>
  </si>
  <si>
    <t xml:space="preserve">3. ESCALA DE INTERPRETACIÓN</t>
  </si>
  <si>
    <t xml:space="preserve">8.5 - 10.0</t>
  </si>
  <si>
    <t xml:space="preserve">Prioridad Crítica (ROJO)</t>
  </si>
  <si>
    <t xml:space="preserve">7.0 - 8.5</t>
  </si>
  <si>
    <t xml:space="preserve">Prioridad Alta (NARANJA)</t>
  </si>
  <si>
    <t xml:space="preserve">5.5 - 7.0</t>
  </si>
  <si>
    <t xml:space="preserve">Prioridad Media (AMARILLO)</t>
  </si>
  <si>
    <t xml:space="preserve">&lt; 5.5</t>
  </si>
  <si>
    <t xml:space="preserve">Prioridad Baja (VERDE)</t>
  </si>
  <si>
    <t xml:space="preserve">ANÁLISIS CRÍTICO DE PRIORIZACIÓN</t>
  </si>
  <si>
    <t xml:space="preserve">TOP 5 PRIORIDADES</t>
  </si>
  <si>
    <t xml:space="preserve">1. HU-05 (Motor CSP)</t>
  </si>
  <si>
    <t xml:space="preserve">Puntuación: 9.40</t>
  </si>
  <si>
    <t xml:space="preserve">Razón: Bloqueador de 4 tareas, máximo valor, alto impacto rúbrica</t>
  </si>
  <si>
    <t xml:space="preserve">2. HU-06 (Conflictos)</t>
  </si>
  <si>
    <t xml:space="preserve">Puntuación: 8.75</t>
  </si>
  <si>
    <t xml:space="preserve">Razón: Depende HU-05, crítica para validación</t>
  </si>
  <si>
    <t xml:space="preserve">3. HU-08 (Visualización)</t>
  </si>
  <si>
    <t xml:space="preserve">Puntuación: 8.50</t>
  </si>
  <si>
    <t xml:space="preserve">Razón: UI requerida, depende HU-05, impacto UX</t>
  </si>
  <si>
    <t xml:space="preserve">4. HU-12 (Testing/QA)</t>
  </si>
  <si>
    <t xml:space="preserve">Puntuación: 8.55</t>
  </si>
  <si>
    <t xml:space="preserve">Razón: Impacto rúbrica alto (10/10), calidad crítica</t>
  </si>
  <si>
    <t xml:space="preserve">5. HU-07 (Optimización SC)</t>
  </si>
  <si>
    <t xml:space="preserve">Puntuación: 8.10</t>
  </si>
  <si>
    <t xml:space="preserve">Razón: Optimización, depende HU-06, mejora solución</t>
  </si>
  <si>
    <t xml:space="preserve">OBSERVACIONES CRÍTICAS</t>
  </si>
  <si>
    <t xml:space="preserve">• HU-05 obtiene puntuación máxima (9.4) por ser el cuello de botella más crítico</t>
  </si>
  <si>
    <t xml:space="preserve">• Tareas de infraestructura (HU-01, HU-02, HU-03) tienen baja prioridad (no bloquean)</t>
  </si>
  <si>
    <t xml:space="preserve">• HU-12 (Testing) tiene puntuación alta porque impacta calificación SOBRESALIENTE</t>
  </si>
  <si>
    <t xml:space="preserve">• Autenticación (HU-10, HU-11) no está en ruta crítica, puede hacerse en paralelo</t>
  </si>
  <si>
    <t xml:space="preserve">• Orden de ejecución recomendado: HU-05 → HU-06 → HU-08/HU-09 → HU-12 → HU-13/HU-14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</si>
</sst>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color rgb="FFC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666699"/>
      </patternFill>
    </fill>
    <fill>
      <patternFill patternType="solid">
        <fgColor rgb="FFC5504C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5504C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5"/>
    <col collapsed="false" customWidth="true" hidden="false" outlineLevel="0" max="4" min="3" style="0" width="13"/>
    <col collapsed="false" customWidth="true" hidden="false" outlineLevel="0" max="5" min="5" style="0" width="15"/>
    <col collapsed="false" customWidth="true" hidden="false" outlineLevel="0" max="7" min="6" style="0" width="16"/>
    <col collapsed="false" customWidth="true" hidden="false" outlineLevel="0" max="8" min="8" style="0" width="1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5" hidden="false" customHeight="false" outlineLevel="0" collapsed="false">
      <c r="A3" s="3" t="s">
        <v>9</v>
      </c>
      <c r="B3" s="4" t="s">
        <v>10</v>
      </c>
      <c r="C3" s="3" t="n">
        <v>10</v>
      </c>
      <c r="D3" s="3" t="n">
        <v>9</v>
      </c>
      <c r="E3" s="3" t="n">
        <v>10</v>
      </c>
      <c r="F3" s="3" t="n">
        <v>10</v>
      </c>
      <c r="G3" s="3" t="n">
        <f aca="false">C3*0.35 + (10-D3)*0.35 + (10-E3)*0.2 + F3*0.1</f>
        <v>4.85</v>
      </c>
      <c r="H3" s="3" t="s">
        <v>11</v>
      </c>
    </row>
    <row r="4" customFormat="false" ht="15" hidden="false" customHeight="false" outlineLevel="0" collapsed="false">
      <c r="A4" s="3" t="s">
        <v>12</v>
      </c>
      <c r="B4" s="4" t="s">
        <v>13</v>
      </c>
      <c r="C4" s="3" t="n">
        <v>9</v>
      </c>
      <c r="D4" s="3" t="n">
        <v>7</v>
      </c>
      <c r="E4" s="3" t="n">
        <v>7</v>
      </c>
      <c r="F4" s="3" t="n">
        <v>9</v>
      </c>
      <c r="G4" s="3" t="n">
        <f aca="false">C4*0.35 + (10-D4)*0.35 + (10-E4)*0.2 + F4*0.1</f>
        <v>5.7</v>
      </c>
      <c r="H4" s="3" t="s">
        <v>14</v>
      </c>
    </row>
    <row r="5" customFormat="false" ht="15" hidden="false" customHeight="false" outlineLevel="0" collapsed="false">
      <c r="A5" s="3" t="s">
        <v>15</v>
      </c>
      <c r="B5" s="4" t="s">
        <v>16</v>
      </c>
      <c r="C5" s="3" t="n">
        <v>9</v>
      </c>
      <c r="D5" s="3" t="n">
        <v>5</v>
      </c>
      <c r="E5" s="3" t="n">
        <v>6</v>
      </c>
      <c r="F5" s="3" t="n">
        <v>8</v>
      </c>
      <c r="G5" s="3" t="n">
        <f aca="false">C5*0.35 + (10-D5)*0.35 + (10-E5)*0.2 + F5*0.1</f>
        <v>6.5</v>
      </c>
      <c r="H5" s="3" t="s">
        <v>17</v>
      </c>
    </row>
    <row r="6" customFormat="false" ht="15" hidden="false" customHeight="false" outlineLevel="0" collapsed="false">
      <c r="A6" s="3" t="s">
        <v>18</v>
      </c>
      <c r="B6" s="4" t="s">
        <v>19</v>
      </c>
      <c r="C6" s="3" t="n">
        <v>9</v>
      </c>
      <c r="D6" s="3" t="n">
        <v>4</v>
      </c>
      <c r="E6" s="3" t="n">
        <v>5</v>
      </c>
      <c r="F6" s="3" t="n">
        <v>10</v>
      </c>
      <c r="G6" s="3" t="n">
        <f aca="false">C6*0.35 + (10-D6)*0.35 + (10-E6)*0.2 + F6*0.1</f>
        <v>7.25</v>
      </c>
      <c r="H6" s="3" t="s">
        <v>20</v>
      </c>
    </row>
    <row r="7" customFormat="false" ht="15" hidden="false" customHeight="false" outlineLevel="0" collapsed="false">
      <c r="A7" s="3" t="s">
        <v>21</v>
      </c>
      <c r="B7" s="4" t="s">
        <v>22</v>
      </c>
      <c r="C7" s="3" t="n">
        <v>8</v>
      </c>
      <c r="D7" s="3" t="n">
        <v>6</v>
      </c>
      <c r="E7" s="3" t="n">
        <v>8</v>
      </c>
      <c r="F7" s="3" t="n">
        <v>8</v>
      </c>
      <c r="G7" s="3" t="n">
        <f aca="false">C7*0.35 + (10-D7)*0.35 + (10-E7)*0.2 + F7*0.1</f>
        <v>5.4</v>
      </c>
      <c r="H7" s="3" t="s">
        <v>23</v>
      </c>
    </row>
    <row r="8" customFormat="false" ht="15" hidden="false" customHeight="false" outlineLevel="0" collapsed="false">
      <c r="A8" s="3" t="s">
        <v>24</v>
      </c>
      <c r="B8" s="4" t="s">
        <v>25</v>
      </c>
      <c r="C8" s="3" t="n">
        <v>8</v>
      </c>
      <c r="D8" s="3" t="n">
        <v>3</v>
      </c>
      <c r="E8" s="3" t="n">
        <v>4</v>
      </c>
      <c r="F8" s="3" t="n">
        <v>7</v>
      </c>
      <c r="G8" s="3" t="n">
        <f aca="false">C8*0.35 + (10-D8)*0.35 + (10-E8)*0.2 + F8*0.1</f>
        <v>7.15</v>
      </c>
      <c r="H8" s="3" t="s">
        <v>26</v>
      </c>
    </row>
    <row r="9" customFormat="false" ht="15" hidden="false" customHeight="false" outlineLevel="0" collapsed="false">
      <c r="A9" s="3" t="s">
        <v>27</v>
      </c>
      <c r="B9" s="4" t="s">
        <v>28</v>
      </c>
      <c r="C9" s="3" t="n">
        <v>7</v>
      </c>
      <c r="D9" s="3" t="n">
        <v>2</v>
      </c>
      <c r="E9" s="3" t="n">
        <v>3</v>
      </c>
      <c r="F9" s="3" t="n">
        <v>6</v>
      </c>
      <c r="G9" s="3" t="n">
        <f aca="false">C9*0.35 + (10-D9)*0.35 + (10-E9)*0.2 + F9*0.1</f>
        <v>7.25</v>
      </c>
      <c r="H9" s="3" t="s">
        <v>29</v>
      </c>
    </row>
    <row r="10" customFormat="false" ht="15" hidden="false" customHeight="false" outlineLevel="0" collapsed="false">
      <c r="A10" s="3" t="s">
        <v>30</v>
      </c>
      <c r="B10" s="4" t="s">
        <v>31</v>
      </c>
      <c r="C10" s="3" t="n">
        <v>6</v>
      </c>
      <c r="D10" s="3" t="n">
        <v>1</v>
      </c>
      <c r="E10" s="3" t="n">
        <v>2</v>
      </c>
      <c r="F10" s="3" t="n">
        <v>5</v>
      </c>
      <c r="G10" s="3" t="n">
        <f aca="false">C10*0.35 + (10-D10)*0.35 + (10-E10)*0.2 + F10*0.1</f>
        <v>7.35</v>
      </c>
      <c r="H10" s="3" t="s">
        <v>32</v>
      </c>
    </row>
    <row r="11" customFormat="false" ht="15" hidden="false" customHeight="false" outlineLevel="0" collapsed="false">
      <c r="A11" s="3" t="s">
        <v>33</v>
      </c>
      <c r="B11" s="4" t="s">
        <v>34</v>
      </c>
      <c r="C11" s="3" t="n">
        <v>6</v>
      </c>
      <c r="D11" s="3" t="n">
        <v>1</v>
      </c>
      <c r="E11" s="3" t="n">
        <v>2</v>
      </c>
      <c r="F11" s="3" t="n">
        <v>5</v>
      </c>
      <c r="G11" s="3" t="n">
        <f aca="false">C11*0.35 + (10-D11)*0.35 + (10-E11)*0.2 + F11*0.1</f>
        <v>7.35</v>
      </c>
      <c r="H11" s="3" t="s">
        <v>35</v>
      </c>
    </row>
    <row r="12" customFormat="false" ht="15" hidden="false" customHeight="false" outlineLevel="0" collapsed="false">
      <c r="A12" s="3" t="s">
        <v>36</v>
      </c>
      <c r="B12" s="4" t="s">
        <v>37</v>
      </c>
      <c r="C12" s="3" t="n">
        <v>5</v>
      </c>
      <c r="D12" s="3" t="n">
        <v>1</v>
      </c>
      <c r="E12" s="3" t="n">
        <v>2</v>
      </c>
      <c r="F12" s="3" t="n">
        <v>4</v>
      </c>
      <c r="G12" s="3" t="n">
        <f aca="false">C12*0.35 + (10-D12)*0.35 + (10-E12)*0.2 + F12*0.1</f>
        <v>6.9</v>
      </c>
      <c r="H12" s="3" t="s">
        <v>38</v>
      </c>
    </row>
    <row r="13" customFormat="false" ht="15" hidden="false" customHeight="false" outlineLevel="0" collapsed="false">
      <c r="A13" s="3" t="s">
        <v>39</v>
      </c>
      <c r="B13" s="4" t="s">
        <v>40</v>
      </c>
      <c r="C13" s="3" t="n">
        <v>7</v>
      </c>
      <c r="D13" s="3" t="n">
        <v>3</v>
      </c>
      <c r="E13" s="3" t="n">
        <v>5</v>
      </c>
      <c r="F13" s="3" t="n">
        <v>6</v>
      </c>
      <c r="G13" s="3" t="n">
        <f aca="false">C13*0.35 + (10-D13)*0.35 + (10-E13)*0.2 + F13*0.1</f>
        <v>6.5</v>
      </c>
      <c r="H13" s="3" t="s">
        <v>41</v>
      </c>
    </row>
    <row r="14" customFormat="false" ht="15" hidden="false" customHeight="false" outlineLevel="0" collapsed="false">
      <c r="A14" s="3" t="s">
        <v>42</v>
      </c>
      <c r="B14" s="4" t="s">
        <v>43</v>
      </c>
      <c r="C14" s="3" t="n">
        <v>7</v>
      </c>
      <c r="D14" s="3" t="n">
        <v>3</v>
      </c>
      <c r="E14" s="3" t="n">
        <v>5</v>
      </c>
      <c r="F14" s="3" t="n">
        <v>6</v>
      </c>
      <c r="G14" s="3" t="n">
        <f aca="false">C14*0.35 + (10-D14)*0.35 + (10-E14)*0.2 + F14*0.1</f>
        <v>6.5</v>
      </c>
      <c r="H14" s="3" t="s">
        <v>44</v>
      </c>
    </row>
    <row r="15" customFormat="false" ht="15" hidden="false" customHeight="false" outlineLevel="0" collapsed="false">
      <c r="A15" s="3" t="s">
        <v>45</v>
      </c>
      <c r="B15" s="4" t="s">
        <v>46</v>
      </c>
      <c r="C15" s="3" t="n">
        <v>8</v>
      </c>
      <c r="D15" s="3" t="n">
        <v>5</v>
      </c>
      <c r="E15" s="3" t="n">
        <v>6</v>
      </c>
      <c r="F15" s="3" t="n">
        <v>9</v>
      </c>
      <c r="G15" s="3" t="n">
        <f aca="false">C15*0.35 + (10-D15)*0.35 + (10-E15)*0.2 + F15*0.1</f>
        <v>6.25</v>
      </c>
      <c r="H15" s="3" t="s">
        <v>47</v>
      </c>
    </row>
    <row r="16" customFormat="false" ht="15" hidden="false" customHeight="false" outlineLevel="0" collapsed="false">
      <c r="A16" s="3" t="s">
        <v>48</v>
      </c>
      <c r="B16" s="4" t="s">
        <v>49</v>
      </c>
      <c r="C16" s="3" t="n">
        <v>8</v>
      </c>
      <c r="D16" s="3" t="n">
        <v>4</v>
      </c>
      <c r="E16" s="3" t="n">
        <v>5</v>
      </c>
      <c r="F16" s="3" t="n">
        <v>8</v>
      </c>
      <c r="G16" s="3" t="n">
        <f aca="false">C16*0.35 + (10-D16)*0.35 + (10-E16)*0.2 + F16*0.1</f>
        <v>6.7</v>
      </c>
      <c r="H16" s="3" t="s">
        <v>50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50"/>
  </cols>
  <sheetData>
    <row r="1" customFormat="false" ht="15" hidden="false" customHeight="false" outlineLevel="0" collapsed="false">
      <c r="A1" s="5" t="s">
        <v>51</v>
      </c>
    </row>
    <row r="3" customFormat="false" ht="15" hidden="false" customHeight="false" outlineLevel="0" collapsed="false">
      <c r="A3" s="6" t="s">
        <v>52</v>
      </c>
    </row>
    <row r="4" customFormat="false" ht="23.85" hidden="false" customHeight="false" outlineLevel="0" collapsed="false">
      <c r="A4" s="6" t="s">
        <v>53</v>
      </c>
      <c r="B4" s="7" t="s">
        <v>54</v>
      </c>
    </row>
    <row r="5" customFormat="false" ht="15" hidden="false" customHeight="false" outlineLevel="0" collapsed="false">
      <c r="A5" s="6" t="s">
        <v>55</v>
      </c>
      <c r="B5" s="7" t="s">
        <v>56</v>
      </c>
    </row>
    <row r="6" customFormat="false" ht="15" hidden="false" customHeight="false" outlineLevel="0" collapsed="false">
      <c r="A6" s="6" t="s">
        <v>57</v>
      </c>
      <c r="B6" s="7" t="s">
        <v>58</v>
      </c>
    </row>
    <row r="7" customFormat="false" ht="15" hidden="false" customHeight="false" outlineLevel="0" collapsed="false">
      <c r="A7" s="6" t="s">
        <v>59</v>
      </c>
      <c r="B7" s="7" t="s">
        <v>60</v>
      </c>
    </row>
    <row r="9" customFormat="false" ht="15" hidden="false" customHeight="false" outlineLevel="0" collapsed="false">
      <c r="A9" s="6" t="s">
        <v>61</v>
      </c>
    </row>
    <row r="10" customFormat="false" ht="15" hidden="false" customHeight="false" outlineLevel="0" collapsed="false">
      <c r="A10" s="8" t="s">
        <v>62</v>
      </c>
      <c r="B10" s="8"/>
      <c r="C10" s="8"/>
    </row>
    <row r="12" customFormat="false" ht="15" hidden="false" customHeight="false" outlineLevel="0" collapsed="false">
      <c r="A12" s="0" t="s">
        <v>63</v>
      </c>
    </row>
    <row r="13" customFormat="false" ht="15" hidden="false" customHeight="false" outlineLevel="0" collapsed="false">
      <c r="A13" s="0" t="s">
        <v>64</v>
      </c>
    </row>
    <row r="14" customFormat="false" ht="15" hidden="false" customHeight="false" outlineLevel="0" collapsed="false">
      <c r="A14" s="0" t="s">
        <v>65</v>
      </c>
    </row>
    <row r="15" customFormat="false" ht="15" hidden="false" customHeight="false" outlineLevel="0" collapsed="false">
      <c r="A15" s="0" t="s">
        <v>66</v>
      </c>
    </row>
    <row r="16" customFormat="false" ht="15" hidden="false" customHeight="false" outlineLevel="0" collapsed="false">
      <c r="A16" s="0" t="s">
        <v>67</v>
      </c>
    </row>
    <row r="18" customFormat="false" ht="15" hidden="false" customHeight="false" outlineLevel="0" collapsed="false">
      <c r="A18" s="6" t="s">
        <v>68</v>
      </c>
    </row>
    <row r="19" customFormat="false" ht="15" hidden="false" customHeight="false" outlineLevel="0" collapsed="false">
      <c r="A19" s="0" t="s">
        <v>69</v>
      </c>
      <c r="B19" s="0" t="s">
        <v>70</v>
      </c>
    </row>
    <row r="20" customFormat="false" ht="15" hidden="false" customHeight="false" outlineLevel="0" collapsed="false">
      <c r="A20" s="0" t="s">
        <v>71</v>
      </c>
      <c r="B20" s="0" t="s">
        <v>72</v>
      </c>
    </row>
    <row r="21" customFormat="false" ht="15" hidden="false" customHeight="false" outlineLevel="0" collapsed="false">
      <c r="A21" s="0" t="s">
        <v>73</v>
      </c>
      <c r="B21" s="0" t="s">
        <v>74</v>
      </c>
    </row>
    <row r="22" customFormat="false" ht="15" hidden="false" customHeight="false" outlineLevel="0" collapsed="false">
      <c r="A22" s="0" t="s">
        <v>75</v>
      </c>
      <c r="B22" s="0" t="s">
        <v>76</v>
      </c>
    </row>
  </sheetData>
  <mergeCells count="1">
    <mergeCell ref="A10:C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9" t="s">
        <v>77</v>
      </c>
    </row>
    <row r="3" customFormat="false" ht="15" hidden="false" customHeight="false" outlineLevel="0" collapsed="false">
      <c r="A3" s="6" t="s">
        <v>78</v>
      </c>
    </row>
    <row r="4" customFormat="false" ht="19.5" hidden="false" customHeight="true" outlineLevel="0" collapsed="false">
      <c r="A4" s="6" t="s">
        <v>79</v>
      </c>
      <c r="B4" s="10" t="s">
        <v>80</v>
      </c>
      <c r="C4" s="7" t="s">
        <v>81</v>
      </c>
    </row>
    <row r="5" customFormat="false" ht="19.5" hidden="false" customHeight="true" outlineLevel="0" collapsed="false">
      <c r="A5" s="6" t="s">
        <v>82</v>
      </c>
      <c r="B5" s="10" t="s">
        <v>83</v>
      </c>
      <c r="C5" s="7" t="s">
        <v>84</v>
      </c>
    </row>
    <row r="6" customFormat="false" ht="19.5" hidden="false" customHeight="true" outlineLevel="0" collapsed="false">
      <c r="A6" s="6" t="s">
        <v>85</v>
      </c>
      <c r="B6" s="10" t="s">
        <v>86</v>
      </c>
      <c r="C6" s="7" t="s">
        <v>87</v>
      </c>
    </row>
    <row r="7" customFormat="false" ht="19.5" hidden="false" customHeight="true" outlineLevel="0" collapsed="false">
      <c r="A7" s="6" t="s">
        <v>88</v>
      </c>
      <c r="B7" s="10" t="s">
        <v>89</v>
      </c>
      <c r="C7" s="7" t="s">
        <v>90</v>
      </c>
    </row>
    <row r="8" customFormat="false" ht="19.5" hidden="false" customHeight="true" outlineLevel="0" collapsed="false">
      <c r="A8" s="6" t="s">
        <v>91</v>
      </c>
      <c r="B8" s="10" t="s">
        <v>92</v>
      </c>
      <c r="C8" s="7" t="s">
        <v>93</v>
      </c>
    </row>
    <row r="10" customFormat="false" ht="15" hidden="false" customHeight="false" outlineLevel="0" collapsed="false">
      <c r="A10" s="6" t="s">
        <v>94</v>
      </c>
    </row>
    <row r="11" customFormat="false" ht="18" hidden="false" customHeight="true" outlineLevel="0" collapsed="false">
      <c r="A11" s="7" t="s">
        <v>95</v>
      </c>
    </row>
    <row r="12" customFormat="false" ht="18" hidden="false" customHeight="true" outlineLevel="0" collapsed="false">
      <c r="A12" s="7" t="s">
        <v>96</v>
      </c>
    </row>
    <row r="13" customFormat="false" ht="18" hidden="false" customHeight="true" outlineLevel="0" collapsed="false">
      <c r="A13" s="7" t="s">
        <v>97</v>
      </c>
    </row>
    <row r="14" customFormat="false" ht="18" hidden="false" customHeight="true" outlineLevel="0" collapsed="false">
      <c r="A14" s="7" t="s">
        <v>98</v>
      </c>
    </row>
    <row r="15" customFormat="false" ht="18" hidden="false" customHeight="true" outlineLevel="0" collapsed="false">
      <c r="A15" s="7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2026-05-07T02:09:46Z</dcterms:created>
  <dc:creator>openpyxl</dc:creator>
  <dc:description/>
  <dc:language>en-US</dc:language>
  <cp:lastModifiedBy/>
  <dcterms:modified xsi:type="dcterms:W3CDTF">2026-05-07T02:09:46Z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