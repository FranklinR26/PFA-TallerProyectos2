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FA-TallerProyectos2\"/>
    </mc:Choice>
  </mc:AlternateContent>
  <xr:revisionPtr revIDLastSave="0" documentId="13_ncr:1_{179D2B2A-4857-42D0-A858-7BFB6639DD23}" xr6:coauthVersionLast="47" xr6:coauthVersionMax="47" xr10:uidLastSave="{00000000-0000-0000-0000-000000000000}"/>
  <bookViews>
    <workbookView xWindow="-96" yWindow="-96" windowWidth="23232" windowHeight="12432" tabRatio="500" firstSheet="2" activeTab="4" xr2:uid="{00000000-000D-0000-FFFF-FFFF00000000}"/>
  </bookViews>
  <sheets>
    <sheet name="Fuentes de Costos del Proyecto" sheetId="1" r:id="rId1"/>
    <sheet name="Costos a lo largo del tiempo" sheetId="2" r:id="rId2"/>
    <sheet name="Costos por Sprint" sheetId="3" r:id="rId3"/>
    <sheet name="Costo Acumulado del Proyecto" sheetId="4" r:id="rId4"/>
    <sheet name="Hoja de Datos" sheetId="5" r:id="rId5"/>
  </sheets>
  <definedNames>
    <definedName name="_ftn1" localSheetId="0">'Fuentes de Costos del Proyecto'!$B$51</definedName>
    <definedName name="_ftnref1" localSheetId="0">'Fuentes de Costos del Proyecto'!$B$4</definedName>
    <definedName name="_xlnm.Print_Area" localSheetId="4">'Hoja de Datos'!$B$1:$F$98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5" l="1"/>
  <c r="D15" i="5"/>
  <c r="F14" i="5"/>
  <c r="D14" i="5"/>
  <c r="F13" i="5"/>
  <c r="D13" i="5"/>
  <c r="F12" i="5"/>
  <c r="D12" i="5"/>
  <c r="F11" i="5"/>
  <c r="D11" i="5"/>
  <c r="C49" i="3"/>
  <c r="C48" i="3"/>
  <c r="C40" i="3"/>
  <c r="C32" i="3"/>
  <c r="C24" i="3"/>
  <c r="C16" i="3"/>
  <c r="B4" i="3"/>
  <c r="B3" i="3"/>
  <c r="C48" i="2"/>
  <c r="C40" i="2"/>
  <c r="C49" i="2" s="1"/>
  <c r="C32" i="2"/>
  <c r="C24" i="2"/>
  <c r="C16" i="2"/>
  <c r="B4" i="2"/>
  <c r="B3" i="2"/>
  <c r="I46" i="1"/>
  <c r="H45" i="1"/>
  <c r="H47" i="1" s="1"/>
  <c r="I44" i="1"/>
  <c r="I43" i="1"/>
  <c r="H42" i="1"/>
  <c r="G42" i="1"/>
  <c r="F42" i="1"/>
  <c r="D42" i="1"/>
  <c r="I41" i="1"/>
  <c r="I40" i="1"/>
  <c r="I39" i="1"/>
  <c r="I38" i="1"/>
  <c r="I37" i="1"/>
  <c r="I36" i="1"/>
  <c r="I35" i="1"/>
  <c r="I42" i="1" s="1"/>
  <c r="H33" i="1"/>
  <c r="G33" i="1"/>
  <c r="F33" i="1"/>
  <c r="D33" i="1"/>
  <c r="I32" i="1"/>
  <c r="I31" i="1"/>
  <c r="I30" i="1"/>
  <c r="I29" i="1"/>
  <c r="I28" i="1"/>
  <c r="I27" i="1"/>
  <c r="I33" i="1" s="1"/>
  <c r="I25" i="1"/>
  <c r="H25" i="1"/>
  <c r="G25" i="1"/>
  <c r="F25" i="1"/>
  <c r="D25" i="1"/>
  <c r="I24" i="1"/>
  <c r="I23" i="1"/>
  <c r="I22" i="1"/>
  <c r="I21" i="1"/>
  <c r="I20" i="1"/>
  <c r="H18" i="1"/>
  <c r="G18" i="1"/>
  <c r="G45" i="1" s="1"/>
  <c r="G47" i="1" s="1"/>
  <c r="F18" i="1"/>
  <c r="F45" i="1" s="1"/>
  <c r="F47" i="1" s="1"/>
  <c r="D18" i="1"/>
  <c r="D45" i="1" s="1"/>
  <c r="D47" i="1" s="1"/>
  <c r="I17" i="1"/>
  <c r="I16" i="1"/>
  <c r="I15" i="1"/>
  <c r="I14" i="1"/>
  <c r="I13" i="1"/>
  <c r="I18" i="1" s="1"/>
  <c r="I45" i="1" s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8" authorId="0" shapeId="0" xr:uid="{00000000-0006-0000-0000-000001000000}">
      <text>
        <r>
          <rPr>
            <sz val="10"/>
            <rFont val="Arial"/>
            <family val="2"/>
          </rPr>
          <t>Lista de supuestos para costos, según corresponda</t>
        </r>
      </text>
    </comment>
  </commentList>
</comments>
</file>

<file path=xl/sharedStrings.xml><?xml version="1.0" encoding="utf-8"?>
<sst xmlns="http://schemas.openxmlformats.org/spreadsheetml/2006/main" count="229" uniqueCount="177">
  <si>
    <t>Fuentes de Costo del Proyecto</t>
  </si>
  <si>
    <t xml:space="preserve">Nombre del Proyecto: </t>
  </si>
  <si>
    <t>CSP Schedule Solver - Sistema de Generación Automática de Horarios Académicos</t>
  </si>
  <si>
    <t>Gerente del Proyecto:</t>
  </si>
  <si>
    <t>Gabo (72153409@continental.edu.pe)</t>
  </si>
  <si>
    <t>Instrucciones:
  &gt; Ingrese las tareas del proyecto especificas a su proyecto</t>
  </si>
  <si>
    <t xml:space="preserve">  &gt; Ingrese la información del presupuesto en las celdas en blanco </t>
  </si>
  <si>
    <t xml:space="preserve">  &gt; Los totales son calculados automáticamente</t>
  </si>
  <si>
    <t xml:space="preserve">  &gt; Para agregar filas, Desproteger hoja (Herramientas / Protección / Desproteger). Proteja cuando este hecho para proteger la entrada de datos.</t>
  </si>
  <si>
    <t>Tarea del Proyecto</t>
  </si>
  <si>
    <t>Horas hombre</t>
  </si>
  <si>
    <t>Costo por Hora ($)</t>
  </si>
  <si>
    <t>Costo del Material ($)</t>
  </si>
  <si>
    <t>Travel Costos de Viaje ($)</t>
  </si>
  <si>
    <t>OtrosCostos ($)</t>
  </si>
  <si>
    <t>Total por Tarea</t>
  </si>
  <si>
    <t>Diseño del Proyecto</t>
  </si>
  <si>
    <t>HU-01 Desarrollo de Especificaciones Funcionales - Gestión Docentes (Sprint 1)</t>
  </si>
  <si>
    <t>HU-02 Arquitectura del Sistema - Gestión Cursos (Sprint 1)</t>
  </si>
  <si>
    <t>HU-03 Diseño Preliminar - Gestión de Aulas (Sprint 2)</t>
  </si>
  <si>
    <t>HU-04 Especificaciones Detalladas - Disponibilidad Docentes (Sprint 2)</t>
  </si>
  <si>
    <t>HU-10/HU-11 Auth + Roles + Plan de Pruebas y Prep Motor CSP (Sprints 1-2)</t>
  </si>
  <si>
    <t>Subtotal</t>
  </si>
  <si>
    <t xml:space="preserve">Desarrollo del Proyecto </t>
  </si>
  <si>
    <t>HU-05 Motor CSP - Desarrollar Componentes (Sprint 3, multiplicador 1.385x)</t>
  </si>
  <si>
    <t>Adquirir Software (OR-Tools, MongoDB Atlas, GitHub Pro, CI/CD)</t>
  </si>
  <si>
    <t>Adquirir Hardware - Cloud-based (Sin compra de hardware físico)</t>
  </si>
  <si>
    <t>HU-06 Detectar Conflictos - Paquete Pruebas Aceptación (Sprint 4, mult 1.10x)</t>
  </si>
  <si>
    <t>HU-07/08/09 Optimización + Visualización + Exportación (Sprints 5-6)</t>
  </si>
  <si>
    <t>Entregas del Proyecto</t>
  </si>
  <si>
    <t>HU-14 Instalar Sistema - Release v1.0.0 GitHub (Sprint 7)</t>
  </si>
  <si>
    <t>Documentación y Capacitación a Usuarios (Sprint 7)</t>
  </si>
  <si>
    <t>HU-12 Testing &amp; Validación - Pruebas Aceptación Desempeño (Sprint 7)</t>
  </si>
  <si>
    <t>Revisión del Desempeño Post Proyecto (Retrospective)</t>
  </si>
  <si>
    <t>HU-13 Mejoras &amp; Optimización - Garantía de Soporte (Sprint 7)</t>
  </si>
  <si>
    <t>HU-14 Archivar Materiales - Docs Finales y Trazabilidad</t>
  </si>
  <si>
    <t>Gerencia del Proyecto</t>
  </si>
  <si>
    <t>Reuniones / Reportes de Progreso con Cliente (Continental)</t>
  </si>
  <si>
    <t>Reuniones / Reportes Internos de Estatus del Proyecto (Daily standup)</t>
  </si>
  <si>
    <t>Reuniones con Terceros (Asesor académico, revisor de código)</t>
  </si>
  <si>
    <t>Interfaz a Otros Departamentos Internos (Coordinación)</t>
  </si>
  <si>
    <t>Gestión de la Configuración (Git Flow, GitHub branches, CI/CD)</t>
  </si>
  <si>
    <t>Aseguramiento de la Calidad (Eslint, SonarQube, code review)</t>
  </si>
  <si>
    <t>Gestión Global del Proyecto (PM, Scrum Master, supervisión)</t>
  </si>
  <si>
    <t>10 - Otros</t>
  </si>
  <si>
    <t>Otros Costos - Sin asignar</t>
  </si>
  <si>
    <t>11 - Otros</t>
  </si>
  <si>
    <t xml:space="preserve">Sub-Totales: </t>
  </si>
  <si>
    <t xml:space="preserve">Riesgo (Contingencia): </t>
  </si>
  <si>
    <t xml:space="preserve">TOTAL (Programado): </t>
  </si>
  <si>
    <t>Comentarios:</t>
  </si>
  <si>
    <t>Presupuesto basado en análisis CSP detallado. Tasa base: $54.46/hr. Multiplicadores: HU-05 (1.385x), HU-06 (1.10x), HU-07/08 (1.05x). Contingencia incluye reserva de riesgo (30% base directo $16,408) + reserva de gestión para riesgos críticos HU-05 ($11,289). Total: $72,468. Período: 23-Mar a 05-Jul 2026. 7 sprints, 14 semanas, 600 hrs.</t>
  </si>
  <si>
    <t>Costos a lo largo de tiempo</t>
  </si>
  <si>
    <t xml:space="preserve">  &gt;Enter anticipated specific sources of cost, date of expenditure and reason</t>
  </si>
  <si>
    <t>Item</t>
  </si>
  <si>
    <t>Fecha</t>
  </si>
  <si>
    <t>Costo</t>
  </si>
  <si>
    <t>Razón</t>
  </si>
  <si>
    <t>Inicio (Sprint 1: Fundación de Datos, 23-Mar a 05-Abr)</t>
  </si>
  <si>
    <t>HU-01 Gestión Docentes (CRUD + tests TC-001 a TC-004)</t>
  </si>
  <si>
    <t>40 hrs × $54.46 - 5 pts</t>
  </si>
  <si>
    <t>HU-02 Gestión Cursos (CRUD + tests TC-005 a TC-008)</t>
  </si>
  <si>
    <t>HU-10 Autenticación Básica (JWT, bcrypt, TC-009 a TC-010)</t>
  </si>
  <si>
    <t>20 hrs × $54.46 - 2 pts</t>
  </si>
  <si>
    <t>Setup ambiente DEV + Kickoff (incluido en HUs)</t>
  </si>
  <si>
    <t>MongoDB Atlas, GitHub, CI/CD</t>
  </si>
  <si>
    <t>Sprint Review &amp; Retrospective S1</t>
  </si>
  <si>
    <t>12 puntos / baseline establecida</t>
  </si>
  <si>
    <t>Documentación API Sprint 1</t>
  </si>
  <si>
    <t>README, endpoint specs</t>
  </si>
  <si>
    <t>Planificación (Sprint 2: Completar Datos + Prep CSP, 06-Abr a 19-Abr)</t>
  </si>
  <si>
    <t>HU-03 Gestión Aulas (CRUD + tests TC-011 a TC-014)</t>
  </si>
  <si>
    <t>24 hrs × $54.46 - 3 pts</t>
  </si>
  <si>
    <t>HU-04 Disponibilidad Docentes (TC-015 a TC-019)</t>
  </si>
  <si>
    <t>40 hrs × $54.46 - 5 pts (CRÍTICO HU-05)</t>
  </si>
  <si>
    <t>HU-11 Control de Acceso / Roles (TC-020 a TC-022)</t>
  </si>
  <si>
    <t>14 hrs × $54.46 - 3 pts</t>
  </si>
  <si>
    <t>Prep HU-05: Setup OR-Tools, arquitectura Motor CSP</t>
  </si>
  <si>
    <t>12 hrs × $54.46 - 3 pts</t>
  </si>
  <si>
    <t>Architecture Doc: Diagrama Motor CSP, complexity analysis</t>
  </si>
  <si>
    <t>Entrada para HU-05</t>
  </si>
  <si>
    <t>Sprint Review &amp; Retrospective S2</t>
  </si>
  <si>
    <t>14 puntos completados (+17%)</t>
  </si>
  <si>
    <t>Planificación 2 (Sprint 3: Motor CSP HU-05 CRÍTICO, 20-Abr a 03-May)</t>
  </si>
  <si>
    <t>HU-05 Setup OR-Tools + HC-1, HC-2, HC-3 (Días 1-5)</t>
  </si>
  <si>
    <t>50 hrs × $75.43 (mult 1.385x NP-Complete)</t>
  </si>
  <si>
    <t>HU-05 HC-4, HC-5, HC-6 + tests TC-001 a TC-006 (Días 6-7)</t>
  </si>
  <si>
    <t>30 hrs × $75.43</t>
  </si>
  <si>
    <t>HU-05 HC-7 Co-requisites + SC-1, SC-2 (Días 8-9)</t>
  </si>
  <si>
    <t>25 hrs × $75.43</t>
  </si>
  <si>
    <t>HU-05 SC-3, SC-4, SC-5 + Performance tuning (Días 10-12)</t>
  </si>
  <si>
    <t>HU-05 Fuzzing 25 TCs + memory profiling + docs</t>
  </si>
  <si>
    <t>15 hrs × $75.43 (TC-024 a TC-026)</t>
  </si>
  <si>
    <t>Sprint Review HU-05: solver &lt;5s, 25 TCs pass</t>
  </si>
  <si>
    <t>13 pts / Ruta crítica completada</t>
  </si>
  <si>
    <t>Desarrollo (Sprints 4-6: HU-06, HU-07/08, HU-09, 04-May a 14-Jun)</t>
  </si>
  <si>
    <t>HU-06 Detectar Conflictos Sprint 4 (TC-026 a TC-029)</t>
  </si>
  <si>
    <t>50 hrs × $59.91 (mult 1.10x) - 3 pts</t>
  </si>
  <si>
    <t>HU-07 Optimizar Soft Constraints Sprint 5 (TC-030 a TC-032)</t>
  </si>
  <si>
    <t>32 hrs × $57.18 (mult 1.05x) - 4 pts</t>
  </si>
  <si>
    <t>HU-08 Visualización de Horarios Sprint 5 (TC-033 a TC-036)</t>
  </si>
  <si>
    <t>48 hrs × $57.18 (mult 1.05x) - 5 pts</t>
  </si>
  <si>
    <t>HU-09 Exportar Horarios Sprint 6 (PDF, Excel, iCal)</t>
  </si>
  <si>
    <t>40 hrs × $54.46 - 3 pts</t>
  </si>
  <si>
    <t>Material/Software (OR-Tools, MongoDB Atlas, GitHub Pro, CI/CD)</t>
  </si>
  <si>
    <t>Infraestructura y herramientas</t>
  </si>
  <si>
    <t>Sprint Reviews S4, S5, S6</t>
  </si>
  <si>
    <t>15 pts adicionales</t>
  </si>
  <si>
    <t>Pruebas &amp; Entrega (Sprint 7: HU-12/13/14 + Indirectos + Contingencia, 15-Jun a 05-Jul)</t>
  </si>
  <si>
    <t>HU-12 Testing &amp; Validación (TC-041 a TC-048, load testing)</t>
  </si>
  <si>
    <t>50 hrs × $54.46 - 8 pts</t>
  </si>
  <si>
    <t>HU-13 Mejoras &amp; Optimización (Code quality, perf tuning)</t>
  </si>
  <si>
    <t>24 hrs × $54.46 - 4 pts (Eslint, SonarQube)</t>
  </si>
  <si>
    <t>HU-14 Integración Final &amp; Entrega (Release v1.0.0)</t>
  </si>
  <si>
    <t>16 hrs × $54.46 - 3 pts</t>
  </si>
  <si>
    <t>Indirectos / Gerencia del Proyecto (PM, supervisión, QA, reuniones)</t>
  </si>
  <si>
    <t>20% del costo directo - distribuido</t>
  </si>
  <si>
    <t>Documentación Final (TRAZABILIDAD, ARCHITECTURE, CONTRIBUTING)</t>
  </si>
  <si>
    <t>Incluido en HU-14</t>
  </si>
  <si>
    <t>Contingencia + Reserva de Gestión (riesgos HU-05, debugging, scope)</t>
  </si>
  <si>
    <t>Reserva 30% base + buffer riesgos críticos</t>
  </si>
  <si>
    <t xml:space="preserve">    Subtotal</t>
  </si>
  <si>
    <t>TOTAL PROYECTO</t>
  </si>
  <si>
    <t>Costos por Sprint</t>
  </si>
  <si>
    <t>Sprint 1 (23-Mar a 05-Abr 2026): HU-01, HU-02, HU-10 + Setup</t>
  </si>
  <si>
    <t>Setup, Kickoff, ambiente DEV (Sprint 1 partial)</t>
  </si>
  <si>
    <t>Incluido en HUs (sin overhead extra)</t>
  </si>
  <si>
    <t>Sprint Review &amp; Retrospective Sprint 1</t>
  </si>
  <si>
    <t>12 puntos completados, baseline</t>
  </si>
  <si>
    <t>Sprint 2 (06-Abr a 19-Abr 2026): HU-03, HU-04, HU-11 + Prep CSP</t>
  </si>
  <si>
    <t>12 hrs prep - 3 pts</t>
  </si>
  <si>
    <t>Sprint Review &amp; Retrospective Sprint 2</t>
  </si>
  <si>
    <t>Sprint 3 (20-Abr a 03-May 2026): HU-05 MOTOR CSP - CRÍTICO ⚠️</t>
  </si>
  <si>
    <t>50 hrs × $75.43 (mult 1.385x)</t>
  </si>
  <si>
    <t>30 hrs × $75.43 (mult 1.385x)</t>
  </si>
  <si>
    <t>25 hrs × $75.43 (mult 1.385x)</t>
  </si>
  <si>
    <t>13 pts completados, ruta crítica OK</t>
  </si>
  <si>
    <t>Sprint 4 (04-May a 17-May 2026): HU-06 Detectar Conflictos</t>
  </si>
  <si>
    <t>HU-06 Endpoint /conflicts/detect + violation list</t>
  </si>
  <si>
    <t>30 hrs × $59.91 (mult 1.10x)</t>
  </si>
  <si>
    <t>HU-06 UI Visualización conflictos + lista HCs violadas</t>
  </si>
  <si>
    <t>20 hrs × $59.91 (mult 1.10x)</t>
  </si>
  <si>
    <t>Tests TC-026 a TC-029 + integración con HU-05</t>
  </si>
  <si>
    <t>Incluido en HUs</t>
  </si>
  <si>
    <t>Sprint Review Sprint 4</t>
  </si>
  <si>
    <t>3 pts completados</t>
  </si>
  <si>
    <t>Sprints 5, 6 y 7 (18-May a 05-Jul 2026): Optimización + Exportación + Testing</t>
  </si>
  <si>
    <t>Sprint 5: HU-07 Optimizar Soft + HU-08 Visualización</t>
  </si>
  <si>
    <t>80 hrs × $57.18 (mult 1.05x) - 9 pts</t>
  </si>
  <si>
    <t>Sprint 6: HU-09 Exportar Horarios (PDF, Excel, iCal)</t>
  </si>
  <si>
    <t>Sprint 7: HU-12 Testing &amp; Validación (50 hrs)</t>
  </si>
  <si>
    <t>Sprint 7: HU-13 Mejoras &amp; Optimización (24 hrs)</t>
  </si>
  <si>
    <t>24 hrs × $54.46 - 4 pts</t>
  </si>
  <si>
    <t>Sprint 7: HU-14 Integración Final &amp; Entrega (16 hrs)</t>
  </si>
  <si>
    <t>Material + Indirectos + Contingencia (distribuido)</t>
  </si>
  <si>
    <t>Material $1,200 + Indirect $7,260 + Contingencia $27,696.80</t>
  </si>
  <si>
    <t>Costo Acumulado del Proyecto</t>
  </si>
  <si>
    <t>Instructions:
To enter/edit data in the Cumulative Project Cost chart below:</t>
  </si>
  <si>
    <t xml:space="preserve">  &gt; Click on the Data Worksheet tab (bottom of page)</t>
  </si>
  <si>
    <t xml:space="preserve">  &gt; Enter new data / modify existing data into the Projected Monthly Cost and Actual Monthly Cost columns</t>
  </si>
  <si>
    <t xml:space="preserve">  &gt; Return to this worksheet to see the updated chart</t>
  </si>
  <si>
    <t xml:space="preserve">  &gt;The blue markers represent projected costs (baseline)</t>
  </si>
  <si>
    <t xml:space="preserve">  &gt; Red markers represent actual costs</t>
  </si>
  <si>
    <t xml:space="preserve">  &gt; Este gráfico puede ser copiado en un documento Word</t>
  </si>
  <si>
    <t>Haga clic  en Archivo/Guardar para guardar los cambios</t>
  </si>
  <si>
    <t>Gráfico del Costo Acumulado del Proyecto</t>
  </si>
  <si>
    <t>Instrucciones:
&gt; Ajustar el número de filas para que coincida con la duración de proyecto</t>
  </si>
  <si>
    <t>&gt; Borrar datos ficticios (celdas en blanco)</t>
  </si>
  <si>
    <t>&gt; Ingrese los costos mensuales proyectados en la columna B</t>
  </si>
  <si>
    <t>&gt; Introduzca los costos mensuales reales en la columna D</t>
  </si>
  <si>
    <t>&gt;Los costos proyectados y reales acumulados son valores calculados.</t>
  </si>
  <si>
    <t>&gt; Los números introducidos aquí afectan directamente a la tabla en la pestaña Costos Acumulados del Proyecto</t>
  </si>
  <si>
    <t>Mes del Proyecto</t>
  </si>
  <si>
    <t>Costo Mensual Proyectado</t>
  </si>
  <si>
    <t>Costo Acumulado Proyectado</t>
  </si>
  <si>
    <t xml:space="preserve">Costo Mensual Actual </t>
  </si>
  <si>
    <t>Actual Acumulado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</si>
</sst>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#,##0_);\(#,##0\)"/>
    <numFmt numFmtId="165" formatCode="\$#,##0_);&quot;($&quot;#,##0\)"/>
    <numFmt numFmtId="166" formatCode="0_);\(0\)"/>
    <numFmt numFmtId="167" formatCode="[$-409]d\-mmm\-yy"/>
    <numFmt numFmtId="168" formatCode="m/d/yyyy;@"/>
    <numFmt numFmtId="169" formatCode="_(\$* #,##0_);_(\$* \(#,##0\);_(\$* \-_);_(@_)"/>
  </numFmts>
  <fonts count="21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i/>
      <sz val="10"/>
      <name val="Arial"/>
      <family val="2"/>
      <charset val="1"/>
    </font>
    <font>
      <i/>
      <sz val="10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u/>
      <sz val="10"/>
      <color rgb="FF0000FF"/>
      <name val="Arial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i/>
      <sz val="9"/>
      <name val="Arial"/>
      <family val="2"/>
      <charset val="1"/>
    </font>
    <font>
      <i/>
      <sz val="9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Symbol"/>
      <family val="1"/>
      <charset val="2"/>
    </font>
    <font>
      <sz val="12"/>
      <name val="Times New Roman"/>
      <family val="1"/>
      <charset val="1"/>
    </font>
    <font>
      <u/>
      <sz val="10"/>
      <color rgb="FF0000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rgb="FF333399"/>
      </right>
      <top style="hair">
        <color rgb="FF333399"/>
      </top>
      <bottom style="hair">
        <color rgb="FF333399"/>
      </bottom>
      <diagonal/>
    </border>
    <border>
      <left style="hair">
        <color rgb="FF333399"/>
      </left>
      <right style="hair">
        <color rgb="FF333399"/>
      </right>
      <top style="hair">
        <color rgb="FF333399"/>
      </top>
      <bottom style="hair">
        <color rgb="FF333399"/>
      </bottom>
      <diagonal/>
    </border>
    <border>
      <left style="hair">
        <color rgb="FF333399"/>
      </left>
      <right style="thin">
        <color auto="1"/>
      </right>
      <top style="hair">
        <color rgb="FF333399"/>
      </top>
      <bottom style="hair">
        <color rgb="FF333399"/>
      </bottom>
      <diagonal/>
    </border>
    <border>
      <left style="thin">
        <color auto="1"/>
      </left>
      <right style="hair">
        <color rgb="FF333399"/>
      </right>
      <top style="hair">
        <color rgb="FF333399"/>
      </top>
      <bottom style="thin">
        <color auto="1"/>
      </bottom>
      <diagonal/>
    </border>
    <border>
      <left style="hair">
        <color rgb="FF333399"/>
      </left>
      <right style="hair">
        <color rgb="FF333399"/>
      </right>
      <top style="hair">
        <color rgb="FF333399"/>
      </top>
      <bottom style="thin">
        <color auto="1"/>
      </bottom>
      <diagonal/>
    </border>
    <border>
      <left style="hair">
        <color rgb="FF333399"/>
      </left>
      <right style="thin">
        <color auto="1"/>
      </right>
      <top style="hair">
        <color rgb="FF333399"/>
      </top>
      <bottom style="thin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49" fontId="3" fillId="2" borderId="12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2" fillId="0" borderId="9" xfId="0" applyFont="1" applyBorder="1" applyAlignment="1" applyProtection="1">
      <alignment horizontal="center" vertical="top" wrapText="1"/>
      <protection locked="0"/>
    </xf>
    <xf numFmtId="0" fontId="6" fillId="8" borderId="10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8" borderId="10" xfId="0" applyFont="1" applyFill="1" applyBorder="1" applyAlignment="1">
      <alignment horizontal="right" vertical="center" wrapText="1"/>
    </xf>
    <xf numFmtId="49" fontId="2" fillId="3" borderId="3" xfId="0" applyNumberFormat="1" applyFont="1" applyFill="1" applyBorder="1" applyAlignment="1">
      <alignment horizont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7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4" fillId="3" borderId="2" xfId="0" applyFont="1" applyFill="1" applyBorder="1" applyAlignment="1">
      <alignment horizontal="right" vertical="center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6" xfId="0" applyFont="1" applyBorder="1" applyAlignment="1" applyProtection="1">
      <alignment vertical="center" wrapText="1"/>
      <protection locked="0"/>
    </xf>
    <xf numFmtId="164" fontId="1" fillId="0" borderId="3" xfId="0" applyNumberFormat="1" applyFont="1" applyBorder="1" applyAlignment="1" applyProtection="1">
      <alignment horizontal="center" vertical="center" wrapText="1"/>
      <protection locked="0"/>
    </xf>
    <xf numFmtId="165" fontId="9" fillId="0" borderId="3" xfId="0" applyNumberFormat="1" applyFont="1" applyBorder="1" applyAlignment="1" applyProtection="1">
      <alignment horizontal="center" vertical="center" wrapText="1"/>
      <protection locked="0"/>
    </xf>
    <xf numFmtId="165" fontId="8" fillId="6" borderId="3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 applyProtection="1">
      <alignment vertical="center"/>
      <protection locked="0"/>
    </xf>
    <xf numFmtId="0" fontId="1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165" fontId="8" fillId="7" borderId="3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166" fontId="1" fillId="0" borderId="3" xfId="0" applyNumberFormat="1" applyFont="1" applyBorder="1" applyAlignment="1" applyProtection="1">
      <alignment horizontal="center" vertical="center" wrapText="1"/>
      <protection locked="0"/>
    </xf>
    <xf numFmtId="166" fontId="2" fillId="7" borderId="3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left" vertical="center" wrapText="1"/>
    </xf>
    <xf numFmtId="166" fontId="2" fillId="5" borderId="8" xfId="0" applyNumberFormat="1" applyFont="1" applyFill="1" applyBorder="1" applyAlignment="1">
      <alignment horizontal="center" vertical="center" wrapText="1"/>
    </xf>
    <xf numFmtId="165" fontId="8" fillId="5" borderId="8" xfId="0" applyNumberFormat="1" applyFont="1" applyFill="1" applyBorder="1" applyAlignment="1">
      <alignment horizontal="center" vertical="center" wrapText="1"/>
    </xf>
    <xf numFmtId="165" fontId="8" fillId="5" borderId="9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3" borderId="11" xfId="0" applyFont="1" applyFill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166" fontId="1" fillId="0" borderId="1" xfId="0" applyNumberFormat="1" applyFont="1" applyBorder="1" applyAlignment="1" applyProtection="1">
      <alignment horizontal="center" vertical="center" wrapText="1"/>
      <protection locked="0"/>
    </xf>
    <xf numFmtId="165" fontId="9" fillId="0" borderId="1" xfId="0" applyNumberFormat="1" applyFont="1" applyBorder="1" applyAlignment="1" applyProtection="1">
      <alignment horizontal="center" vertical="center" wrapText="1"/>
      <protection locked="0"/>
    </xf>
    <xf numFmtId="0" fontId="1" fillId="7" borderId="3" xfId="0" applyFont="1" applyFill="1" applyBorder="1" applyAlignment="1">
      <alignment horizontal="left"/>
    </xf>
    <xf numFmtId="166" fontId="2" fillId="7" borderId="3" xfId="0" applyNumberFormat="1" applyFont="1" applyFill="1" applyBorder="1" applyAlignment="1">
      <alignment horizontal="center"/>
    </xf>
    <xf numFmtId="165" fontId="8" fillId="7" borderId="3" xfId="0" applyNumberFormat="1" applyFont="1" applyFill="1" applyBorder="1" applyAlignment="1">
      <alignment horizontal="center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5" fontId="9" fillId="0" borderId="4" xfId="0" applyNumberFormat="1" applyFont="1" applyBorder="1" applyAlignment="1" applyProtection="1">
      <alignment horizontal="center" vertical="center" wrapText="1"/>
      <protection locked="0"/>
    </xf>
    <xf numFmtId="49" fontId="1" fillId="4" borderId="3" xfId="0" applyNumberFormat="1" applyFont="1" applyFill="1" applyBorder="1" applyAlignment="1" applyProtection="1">
      <alignment horizontal="left" vertical="center" wrapText="1"/>
      <protection locked="0"/>
    </xf>
    <xf numFmtId="166" fontId="1" fillId="4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1" fillId="4" borderId="4" xfId="0" applyNumberFormat="1" applyFont="1" applyFill="1" applyBorder="1" applyAlignment="1" applyProtection="1">
      <alignment vertical="center" wrapText="1"/>
      <protection locked="0"/>
    </xf>
    <xf numFmtId="166" fontId="2" fillId="8" borderId="3" xfId="0" applyNumberFormat="1" applyFont="1" applyFill="1" applyBorder="1" applyAlignment="1">
      <alignment horizontal="center" vertical="center" wrapText="1"/>
    </xf>
    <xf numFmtId="165" fontId="8" fillId="8" borderId="3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2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167" fontId="13" fillId="3" borderId="3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vertical="center" wrapText="1"/>
    </xf>
    <xf numFmtId="0" fontId="1" fillId="0" borderId="3" xfId="0" applyFont="1" applyBorder="1" applyAlignment="1" applyProtection="1">
      <alignment horizontal="left" vertical="center" wrapText="1"/>
      <protection locked="0"/>
    </xf>
    <xf numFmtId="168" fontId="13" fillId="0" borderId="3" xfId="0" applyNumberFormat="1" applyFont="1" applyBorder="1" applyAlignment="1" applyProtection="1">
      <alignment horizontal="center" vertical="center" wrapText="1"/>
      <protection locked="0"/>
    </xf>
    <xf numFmtId="165" fontId="13" fillId="0" borderId="3" xfId="0" applyNumberFormat="1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6" fillId="7" borderId="3" xfId="0" applyFont="1" applyFill="1" applyBorder="1" applyAlignment="1">
      <alignment horizontal="right" vertical="center" wrapText="1"/>
    </xf>
    <xf numFmtId="168" fontId="14" fillId="7" borderId="3" xfId="0" applyNumberFormat="1" applyFont="1" applyFill="1" applyBorder="1" applyAlignment="1">
      <alignment horizontal="center" vertical="center" wrapText="1"/>
    </xf>
    <xf numFmtId="169" fontId="14" fillId="9" borderId="3" xfId="0" applyNumberFormat="1" applyFont="1" applyFill="1" applyBorder="1" applyAlignment="1">
      <alignment horizontal="center" vertical="center" wrapText="1"/>
    </xf>
    <xf numFmtId="168" fontId="13" fillId="3" borderId="3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2" fillId="3" borderId="3" xfId="0" applyFont="1" applyFill="1" applyBorder="1" applyAlignment="1">
      <alignment horizontal="right" vertical="center" wrapText="1"/>
    </xf>
    <xf numFmtId="168" fontId="14" fillId="3" borderId="3" xfId="0" applyNumberFormat="1" applyFont="1" applyFill="1" applyBorder="1" applyAlignment="1">
      <alignment horizontal="center" vertical="center" wrapText="1"/>
    </xf>
    <xf numFmtId="169" fontId="14" fillId="10" borderId="3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 applyAlignment="1">
      <alignment horizontal="left" indent="2"/>
    </xf>
    <xf numFmtId="0" fontId="19" fillId="0" borderId="0" xfId="0" applyFont="1"/>
    <xf numFmtId="0" fontId="20" fillId="0" borderId="0" xfId="0" applyFont="1"/>
    <xf numFmtId="0" fontId="2" fillId="0" borderId="0" xfId="0" applyFont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" fontId="0" fillId="0" borderId="15" xfId="0" applyNumberFormat="1" applyBorder="1" applyProtection="1">
      <protection locked="0"/>
    </xf>
    <xf numFmtId="165" fontId="0" fillId="0" borderId="16" xfId="0" applyNumberFormat="1" applyBorder="1" applyProtection="1">
      <protection locked="0"/>
    </xf>
    <xf numFmtId="165" fontId="0" fillId="7" borderId="16" xfId="0" applyNumberFormat="1" applyFill="1" applyBorder="1"/>
    <xf numFmtId="165" fontId="0" fillId="7" borderId="17" xfId="0" applyNumberFormat="1" applyFill="1" applyBorder="1"/>
    <xf numFmtId="1" fontId="0" fillId="0" borderId="15" xfId="0" applyNumberFormat="1" applyBorder="1"/>
    <xf numFmtId="165" fontId="0" fillId="0" borderId="16" xfId="0" applyNumberFormat="1" applyBorder="1"/>
    <xf numFmtId="1" fontId="0" fillId="0" borderId="18" xfId="0" applyNumberFormat="1" applyBorder="1"/>
    <xf numFmtId="165" fontId="0" fillId="0" borderId="19" xfId="0" applyNumberFormat="1" applyBorder="1"/>
    <xf numFmtId="165" fontId="0" fillId="7" borderId="19" xfId="0" applyNumberFormat="1" applyFill="1" applyBorder="1"/>
    <xf numFmtId="165" fontId="0" fillId="0" borderId="19" xfId="0" applyNumberFormat="1" applyBorder="1" applyProtection="1">
      <protection locked="0"/>
    </xf>
    <xf numFmtId="165" fontId="0" fillId="7" borderId="20" xfId="0" applyNumberFormat="1" applyFill="1" applyBorder="1"/>
    <xf numFmtId="0" fontId="5" fillId="9" borderId="6" xfId="0" applyFont="1" applyFill="1" applyBorder="1" applyAlignment="1">
      <alignment horizontal="left"/>
    </xf>
    <xf numFmtId="0" fontId="5" fillId="2" borderId="0" xfId="0" applyFont="1" applyFill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PE" sz="1200" b="1" u="none" strike="noStrike">
                <a:solidFill>
                  <a:srgbClr val="000000"/>
                </a:solidFill>
                <a:uFillTx/>
                <a:latin typeface="Arial"/>
              </a:rPr>
              <a:t>Costo del Proyecto Acumulado</a:t>
            </a:r>
          </a:p>
        </c:rich>
      </c:tx>
      <c:layout>
        <c:manualLayout>
          <c:xMode val="edge"/>
          <c:yMode val="edge"/>
          <c:x val="0.34516032364399202"/>
          <c:y val="5.16401845207586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10218759364699E-2"/>
          <c:y val="0.19566888774987201"/>
          <c:w val="0.71141744081510305"/>
          <c:h val="0.69297796002050205"/>
        </c:manualLayout>
      </c:layout>
      <c:lineChart>
        <c:grouping val="standard"/>
        <c:varyColors val="0"/>
        <c:ser>
          <c:idx val="0"/>
          <c:order val="0"/>
          <c:tx>
            <c:v>Planned Cost</c:v>
          </c:tx>
          <c:spPr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'Hoja de Datos'!$D$11:$D$34</c:f>
              <c:numCache>
                <c:formatCode>\$#,##0_);"($"#,##0\)</c:formatCode>
                <c:ptCount val="24"/>
                <c:pt idx="0">
                  <c:v>1812</c:v>
                </c:pt>
                <c:pt idx="1">
                  <c:v>16866</c:v>
                </c:pt>
                <c:pt idx="2">
                  <c:v>31492</c:v>
                </c:pt>
                <c:pt idx="3">
                  <c:v>36749</c:v>
                </c:pt>
                <c:pt idx="4">
                  <c:v>38528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0-4384-B020-37FFCEEEF764}"/>
            </c:ext>
          </c:extLst>
        </c:ser>
        <c:ser>
          <c:idx val="1"/>
          <c:order val="1"/>
          <c:tx>
            <c:v>Actual Cost</c:v>
          </c:tx>
          <c:spPr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'Hoja de Datos'!$F$11:$F$34</c:f>
              <c:numCache>
                <c:formatCode>\$#,##0_);"($"#,##0\)</c:formatCode>
                <c:ptCount val="24"/>
                <c:pt idx="0">
                  <c:v>1089</c:v>
                </c:pt>
                <c:pt idx="1">
                  <c:v>6153</c:v>
                </c:pt>
                <c:pt idx="2">
                  <c:v>9053</c:v>
                </c:pt>
                <c:pt idx="3">
                  <c:v>9053</c:v>
                </c:pt>
                <c:pt idx="4">
                  <c:v>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0-4384-B020-37FFCEEEF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802580"/>
        <c:axId val="51497085"/>
      </c:lineChart>
      <c:catAx>
        <c:axId val="288025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PE"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Mes del Proyecto</a:t>
                </a:r>
              </a:p>
            </c:rich>
          </c:tx>
          <c:layout>
            <c:manualLayout>
              <c:xMode val="edge"/>
              <c:yMode val="edge"/>
              <c:x val="0.36631705124363201"/>
              <c:y val="0.8927473090722709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s-PE"/>
          </a:p>
        </c:txPr>
        <c:crossAx val="51497085"/>
        <c:crossesAt val="0"/>
        <c:auto val="1"/>
        <c:lblAlgn val="ctr"/>
        <c:lblOffset val="100"/>
        <c:noMultiLvlLbl val="0"/>
      </c:catAx>
      <c:valAx>
        <c:axId val="5149708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PE"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Costos Acumulados ($K)</a:t>
                </a:r>
              </a:p>
            </c:rich>
          </c:tx>
          <c:layout>
            <c:manualLayout>
              <c:xMode val="edge"/>
              <c:yMode val="edge"/>
              <c:x val="1.4983518130056901E-2"/>
              <c:y val="0.29202972834443902"/>
            </c:manualLayout>
          </c:layout>
          <c:overlay val="0"/>
          <c:spPr>
            <a:noFill/>
            <a:ln w="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s-PE"/>
          </a:p>
        </c:txPr>
        <c:crossAx val="28802580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8546173668124897"/>
          <c:y val="0.42467332820907"/>
          <c:w val="0.18601306406184501"/>
          <c:h val="0.144632334101972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20" b="0" u="none" strike="noStrike">
              <a:solidFill>
                <a:srgbClr val="000000"/>
              </a:solidFill>
              <a:uFillTx/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11</xdr:col>
      <xdr:colOff>211320</xdr:colOff>
      <xdr:row>32</xdr:row>
      <xdr:rowOff>56160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W53"/>
  <sheetViews>
    <sheetView topLeftCell="A34" zoomScaleNormal="100" workbookViewId="0">
      <selection activeCell="C13" sqref="C13"/>
    </sheetView>
  </sheetViews>
  <sheetFormatPr baseColWidth="10" defaultColWidth="9.109375" defaultRowHeight="12.3" x14ac:dyDescent="0.4"/>
  <cols>
    <col min="1" max="1" width="4.38671875" style="15" customWidth="1"/>
    <col min="2" max="2" width="28.5546875" style="16" customWidth="1"/>
    <col min="3" max="3" width="83.5546875" style="15" bestFit="1" customWidth="1"/>
    <col min="4" max="4" width="9.5546875" style="15" customWidth="1"/>
    <col min="5" max="6" width="11.44140625" style="15" customWidth="1"/>
    <col min="7" max="7" width="10.27734375" style="15" customWidth="1"/>
    <col min="8" max="8" width="11.44140625" style="15" customWidth="1"/>
    <col min="9" max="9" width="13.38671875" style="17" customWidth="1"/>
    <col min="10" max="10" width="31.44140625" style="15" customWidth="1"/>
    <col min="11" max="257" width="9.109375" style="15"/>
  </cols>
  <sheetData>
    <row r="2" spans="1:257" ht="58.5" customHeight="1" x14ac:dyDescent="0.4">
      <c r="B2" s="14" t="s">
        <v>0</v>
      </c>
      <c r="C2" s="14"/>
      <c r="D2" s="14"/>
      <c r="E2" s="14"/>
      <c r="F2" s="14"/>
      <c r="G2" s="14"/>
      <c r="H2" s="14"/>
      <c r="I2" s="14"/>
    </row>
    <row r="3" spans="1:257" ht="18.75" customHeight="1" x14ac:dyDescent="0.4">
      <c r="B3" s="18" t="s">
        <v>1</v>
      </c>
      <c r="C3" s="19" t="s">
        <v>2</v>
      </c>
      <c r="D3" s="13"/>
      <c r="E3" s="13"/>
      <c r="F3" s="13"/>
      <c r="G3" s="13"/>
      <c r="H3" s="13"/>
      <c r="I3" s="13"/>
    </row>
    <row r="4" spans="1:257" ht="16.5" customHeight="1" x14ac:dyDescent="0.4">
      <c r="B4" s="18" t="s">
        <v>3</v>
      </c>
      <c r="C4" s="20" t="s">
        <v>4</v>
      </c>
      <c r="D4" s="13"/>
      <c r="E4" s="13"/>
      <c r="F4" s="13"/>
      <c r="G4" s="13"/>
      <c r="H4" s="13"/>
      <c r="I4" s="13"/>
    </row>
    <row r="5" spans="1:257" ht="16.5" customHeight="1" x14ac:dyDescent="0.4">
      <c r="B5" s="12"/>
      <c r="C5" s="12"/>
      <c r="D5" s="12"/>
      <c r="E5" s="12"/>
      <c r="F5" s="12"/>
      <c r="G5" s="12"/>
      <c r="H5" s="12"/>
      <c r="I5" s="12"/>
    </row>
    <row r="6" spans="1:257" ht="28.5" customHeight="1" x14ac:dyDescent="0.4">
      <c r="B6" s="11" t="s">
        <v>5</v>
      </c>
      <c r="C6" s="11"/>
      <c r="D6" s="11"/>
      <c r="E6" s="11"/>
      <c r="F6" s="11"/>
      <c r="G6" s="11"/>
      <c r="H6" s="11"/>
      <c r="I6" s="11"/>
    </row>
    <row r="7" spans="1:257" ht="15" customHeight="1" x14ac:dyDescent="0.4">
      <c r="B7" s="10" t="s">
        <v>6</v>
      </c>
      <c r="C7" s="10"/>
      <c r="D7" s="10"/>
      <c r="E7" s="10"/>
      <c r="F7" s="10"/>
      <c r="G7" s="10"/>
      <c r="H7" s="10"/>
      <c r="I7" s="10"/>
    </row>
    <row r="8" spans="1:257" ht="15" customHeight="1" x14ac:dyDescent="0.4">
      <c r="B8" s="10" t="s">
        <v>7</v>
      </c>
      <c r="C8" s="10"/>
      <c r="D8" s="10"/>
      <c r="E8" s="10"/>
      <c r="F8" s="10"/>
      <c r="G8" s="10"/>
      <c r="H8" s="10"/>
      <c r="I8" s="10"/>
    </row>
    <row r="9" spans="1:257" ht="14.25" customHeight="1" x14ac:dyDescent="0.45">
      <c r="B9" s="9" t="s">
        <v>8</v>
      </c>
      <c r="C9" s="9"/>
      <c r="D9" s="9"/>
      <c r="E9" s="9"/>
      <c r="F9" s="9"/>
      <c r="G9" s="9"/>
      <c r="H9" s="9"/>
      <c r="I9" s="9"/>
    </row>
    <row r="10" spans="1:257" ht="13.5" customHeight="1" x14ac:dyDescent="0.4">
      <c r="B10" s="8" t="s">
        <v>9</v>
      </c>
      <c r="C10" s="8"/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</row>
    <row r="11" spans="1:257" ht="13.5" customHeight="1" x14ac:dyDescent="0.4">
      <c r="B11" s="8"/>
      <c r="C11" s="8"/>
      <c r="D11" s="7"/>
      <c r="E11" s="7"/>
      <c r="F11" s="7"/>
      <c r="G11" s="7"/>
      <c r="H11" s="7"/>
      <c r="I11" s="7"/>
    </row>
    <row r="12" spans="1:257" ht="19.5" customHeight="1" x14ac:dyDescent="0.4">
      <c r="A12" s="21"/>
      <c r="B12" s="22">
        <v>1</v>
      </c>
      <c r="C12" s="23" t="s">
        <v>16</v>
      </c>
      <c r="D12" s="24"/>
      <c r="E12" s="24"/>
      <c r="F12" s="24"/>
      <c r="G12" s="24"/>
      <c r="H12" s="24"/>
      <c r="I12" s="25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1:257" ht="19.5" customHeight="1" x14ac:dyDescent="0.4">
      <c r="A13" s="21"/>
      <c r="B13" s="26">
        <v>1.1000000000000001</v>
      </c>
      <c r="C13" s="27" t="s">
        <v>17</v>
      </c>
      <c r="D13" s="28">
        <v>40</v>
      </c>
      <c r="E13" s="29">
        <v>54.46</v>
      </c>
      <c r="F13" s="29">
        <v>0</v>
      </c>
      <c r="G13" s="29">
        <v>0</v>
      </c>
      <c r="H13" s="29">
        <v>0</v>
      </c>
      <c r="I13" s="30">
        <f>(D13*E13)+F13+G13+H13</f>
        <v>2178.4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1:257" ht="19.5" customHeight="1" x14ac:dyDescent="0.4">
      <c r="A14" s="21"/>
      <c r="B14" s="26">
        <v>1.2</v>
      </c>
      <c r="C14" s="27" t="s">
        <v>18</v>
      </c>
      <c r="D14" s="28">
        <v>40</v>
      </c>
      <c r="E14" s="29">
        <v>54.46</v>
      </c>
      <c r="F14" s="29">
        <v>0</v>
      </c>
      <c r="G14" s="29">
        <v>0</v>
      </c>
      <c r="H14" s="29">
        <v>0</v>
      </c>
      <c r="I14" s="30">
        <f>(D14*E14)+F14+G14+H14</f>
        <v>2178.4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1:257" ht="19.5" customHeight="1" x14ac:dyDescent="0.4">
      <c r="A15" s="21"/>
      <c r="B15" s="26">
        <v>1.3</v>
      </c>
      <c r="C15" s="31" t="s">
        <v>19</v>
      </c>
      <c r="D15" s="28">
        <v>24</v>
      </c>
      <c r="E15" s="29">
        <v>54.46</v>
      </c>
      <c r="F15" s="29">
        <v>0</v>
      </c>
      <c r="G15" s="29">
        <v>0</v>
      </c>
      <c r="H15" s="29">
        <v>0</v>
      </c>
      <c r="I15" s="30">
        <f>(D15*E15)+F15+G15+H15</f>
        <v>1307.04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1:257" ht="19.5" customHeight="1" x14ac:dyDescent="0.4">
      <c r="A16" s="21"/>
      <c r="B16" s="26">
        <v>1.4</v>
      </c>
      <c r="C16" s="27" t="s">
        <v>20</v>
      </c>
      <c r="D16" s="28">
        <v>40</v>
      </c>
      <c r="E16" s="29">
        <v>54.46</v>
      </c>
      <c r="F16" s="29">
        <v>0</v>
      </c>
      <c r="G16" s="29">
        <v>0</v>
      </c>
      <c r="H16" s="29">
        <v>0</v>
      </c>
      <c r="I16" s="30">
        <f>(D16*E16)+F16+G16+H16</f>
        <v>2178.4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1:257" ht="19.5" customHeight="1" x14ac:dyDescent="0.4">
      <c r="A17" s="21"/>
      <c r="B17" s="26">
        <v>1.5</v>
      </c>
      <c r="C17" s="27" t="s">
        <v>21</v>
      </c>
      <c r="D17" s="28">
        <v>46</v>
      </c>
      <c r="E17" s="29">
        <v>54.46</v>
      </c>
      <c r="F17" s="29">
        <v>0</v>
      </c>
      <c r="G17" s="29">
        <v>0</v>
      </c>
      <c r="H17" s="29">
        <v>0</v>
      </c>
      <c r="I17" s="30">
        <f>(D17*E17)+F17+G17+H17</f>
        <v>2505.16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1:257" ht="19.5" customHeight="1" x14ac:dyDescent="0.4">
      <c r="A18" s="21"/>
      <c r="B18" s="32"/>
      <c r="C18" s="33" t="s">
        <v>22</v>
      </c>
      <c r="D18" s="34">
        <f>SUM(D13:D17)</f>
        <v>190</v>
      </c>
      <c r="E18" s="35"/>
      <c r="F18" s="35">
        <f>SUM(F13:F17)</f>
        <v>0</v>
      </c>
      <c r="G18" s="35">
        <f>SUM(G13:G17)</f>
        <v>0</v>
      </c>
      <c r="H18" s="35">
        <f>SUM(H13:H17)</f>
        <v>0</v>
      </c>
      <c r="I18" s="35">
        <f>SUM(I13:I17)</f>
        <v>10347.4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1:257" ht="19.5" customHeight="1" x14ac:dyDescent="0.4">
      <c r="A19" s="21"/>
      <c r="B19" s="22">
        <v>2</v>
      </c>
      <c r="C19" s="36" t="s">
        <v>23</v>
      </c>
      <c r="D19" s="37"/>
      <c r="E19" s="38"/>
      <c r="F19" s="38"/>
      <c r="G19" s="38"/>
      <c r="H19" s="38"/>
      <c r="I19" s="3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1:257" ht="19.5" customHeight="1" x14ac:dyDescent="0.4">
      <c r="A20" s="21"/>
      <c r="B20" s="26">
        <v>2.1</v>
      </c>
      <c r="C20" s="27" t="s">
        <v>24</v>
      </c>
      <c r="D20" s="40">
        <v>150</v>
      </c>
      <c r="E20" s="29">
        <v>75.430000000000007</v>
      </c>
      <c r="F20" s="29">
        <v>0</v>
      </c>
      <c r="G20" s="29">
        <v>0</v>
      </c>
      <c r="H20" s="29">
        <v>0</v>
      </c>
      <c r="I20" s="30">
        <f>(D20*E20)+F20+G20+H20</f>
        <v>11314.500000000002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1:257" ht="19.5" customHeight="1" x14ac:dyDescent="0.4">
      <c r="A21" s="21"/>
      <c r="B21" s="26">
        <v>2.2000000000000002</v>
      </c>
      <c r="C21" s="27" t="s">
        <v>25</v>
      </c>
      <c r="D21" s="40">
        <v>0</v>
      </c>
      <c r="E21" s="29">
        <v>0</v>
      </c>
      <c r="F21" s="29">
        <v>1200</v>
      </c>
      <c r="G21" s="29">
        <v>0</v>
      </c>
      <c r="H21" s="29">
        <v>0</v>
      </c>
      <c r="I21" s="30">
        <f>(D21*E21)+F21+G21+H21</f>
        <v>1200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1:257" ht="19.5" customHeight="1" x14ac:dyDescent="0.4">
      <c r="A22" s="21"/>
      <c r="B22" s="26">
        <v>2.2999999999999998</v>
      </c>
      <c r="C22" s="27" t="s">
        <v>26</v>
      </c>
      <c r="D22" s="40">
        <v>0</v>
      </c>
      <c r="E22" s="29">
        <v>0</v>
      </c>
      <c r="F22" s="29">
        <v>0</v>
      </c>
      <c r="G22" s="29">
        <v>0</v>
      </c>
      <c r="H22" s="29">
        <v>0</v>
      </c>
      <c r="I22" s="30">
        <f>(D22*E22)+F22+G22+H22</f>
        <v>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1:257" ht="19.5" customHeight="1" x14ac:dyDescent="0.4">
      <c r="A23" s="21"/>
      <c r="B23" s="26">
        <v>2.4</v>
      </c>
      <c r="C23" s="27" t="s">
        <v>27</v>
      </c>
      <c r="D23" s="40">
        <v>50</v>
      </c>
      <c r="E23" s="29">
        <v>59.91</v>
      </c>
      <c r="F23" s="29">
        <v>0</v>
      </c>
      <c r="G23" s="29">
        <v>0</v>
      </c>
      <c r="H23" s="29">
        <v>0</v>
      </c>
      <c r="I23" s="30">
        <f>(D23*E23)+F23+G23+H23</f>
        <v>2995.5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1:257" ht="19.5" customHeight="1" x14ac:dyDescent="0.4">
      <c r="A24" s="21"/>
      <c r="B24" s="26">
        <v>2.5</v>
      </c>
      <c r="C24" s="27" t="s">
        <v>28</v>
      </c>
      <c r="D24" s="40">
        <v>120</v>
      </c>
      <c r="E24" s="29">
        <v>56.27</v>
      </c>
      <c r="F24" s="29">
        <v>0</v>
      </c>
      <c r="G24" s="29">
        <v>0</v>
      </c>
      <c r="H24" s="29">
        <v>0</v>
      </c>
      <c r="I24" s="30">
        <f>(D24*E24)+F24+G24+H24</f>
        <v>6752.4000000000005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1:257" ht="19.5" customHeight="1" x14ac:dyDescent="0.4">
      <c r="A25" s="21"/>
      <c r="B25" s="32"/>
      <c r="C25" s="33" t="s">
        <v>22</v>
      </c>
      <c r="D25" s="41">
        <f>SUM(D20:D24)</f>
        <v>320</v>
      </c>
      <c r="E25" s="35"/>
      <c r="F25" s="35">
        <f>SUM(F20:F24)</f>
        <v>1200</v>
      </c>
      <c r="G25" s="35">
        <f>SUM(G20:G24)</f>
        <v>0</v>
      </c>
      <c r="H25" s="35">
        <f>SUM(H20:H24)</f>
        <v>0</v>
      </c>
      <c r="I25" s="35">
        <f>SUM(I20:I24)</f>
        <v>22262.400000000001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1:257" ht="19.5" customHeight="1" x14ac:dyDescent="0.4">
      <c r="A26" s="21"/>
      <c r="B26" s="42">
        <v>3</v>
      </c>
      <c r="C26" s="36" t="s">
        <v>29</v>
      </c>
      <c r="D26" s="43"/>
      <c r="E26" s="44"/>
      <c r="F26" s="44"/>
      <c r="G26" s="44"/>
      <c r="H26" s="44"/>
      <c r="I26" s="4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1:257" ht="19.5" customHeight="1" x14ac:dyDescent="0.4">
      <c r="A27" s="21"/>
      <c r="B27" s="26">
        <v>3.1</v>
      </c>
      <c r="C27" s="46" t="s">
        <v>30</v>
      </c>
      <c r="D27" s="40">
        <v>8</v>
      </c>
      <c r="E27" s="29">
        <v>54.46</v>
      </c>
      <c r="F27" s="29">
        <v>0</v>
      </c>
      <c r="G27" s="29">
        <v>0</v>
      </c>
      <c r="H27" s="29">
        <v>0</v>
      </c>
      <c r="I27" s="30">
        <f t="shared" ref="I27:I32" si="0">(D27*E27)+F27+G27+H27</f>
        <v>435.68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1:257" ht="19.5" customHeight="1" x14ac:dyDescent="0.4">
      <c r="A28" s="21"/>
      <c r="B28" s="26">
        <v>3.2</v>
      </c>
      <c r="C28" s="27" t="s">
        <v>31</v>
      </c>
      <c r="D28" s="40">
        <v>8</v>
      </c>
      <c r="E28" s="29">
        <v>54.46</v>
      </c>
      <c r="F28" s="29">
        <v>0</v>
      </c>
      <c r="G28" s="29">
        <v>0</v>
      </c>
      <c r="H28" s="29">
        <v>0</v>
      </c>
      <c r="I28" s="30">
        <f t="shared" si="0"/>
        <v>435.68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1:257" ht="19.5" customHeight="1" x14ac:dyDescent="0.4">
      <c r="A29" s="21"/>
      <c r="B29" s="26">
        <v>3.3</v>
      </c>
      <c r="C29" s="27" t="s">
        <v>32</v>
      </c>
      <c r="D29" s="40">
        <v>50</v>
      </c>
      <c r="E29" s="29">
        <v>54.46</v>
      </c>
      <c r="F29" s="29">
        <v>0</v>
      </c>
      <c r="G29" s="29">
        <v>0</v>
      </c>
      <c r="H29" s="29">
        <v>0</v>
      </c>
      <c r="I29" s="30">
        <f t="shared" si="0"/>
        <v>2723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1:257" ht="19.5" customHeight="1" x14ac:dyDescent="0.4">
      <c r="A30" s="21"/>
      <c r="B30" s="26">
        <v>3.4</v>
      </c>
      <c r="C30" s="27" t="s">
        <v>33</v>
      </c>
      <c r="D30" s="40">
        <v>8</v>
      </c>
      <c r="E30" s="29">
        <v>54.46</v>
      </c>
      <c r="F30" s="29">
        <v>0</v>
      </c>
      <c r="G30" s="29">
        <v>0</v>
      </c>
      <c r="H30" s="29">
        <v>0</v>
      </c>
      <c r="I30" s="30">
        <f t="shared" si="0"/>
        <v>435.68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1:257" ht="19.5" customHeight="1" x14ac:dyDescent="0.4">
      <c r="A31" s="21"/>
      <c r="B31" s="26">
        <v>3.5</v>
      </c>
      <c r="C31" s="27" t="s">
        <v>34</v>
      </c>
      <c r="D31" s="40">
        <v>8</v>
      </c>
      <c r="E31" s="29">
        <v>54.46</v>
      </c>
      <c r="F31" s="29">
        <v>0</v>
      </c>
      <c r="G31" s="29">
        <v>0</v>
      </c>
      <c r="H31" s="29">
        <v>0</v>
      </c>
      <c r="I31" s="30">
        <f t="shared" si="0"/>
        <v>435.68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1:257" ht="19.5" customHeight="1" x14ac:dyDescent="0.4">
      <c r="A32" s="21"/>
      <c r="B32" s="47">
        <v>3.6</v>
      </c>
      <c r="C32" s="48" t="s">
        <v>35</v>
      </c>
      <c r="D32" s="49">
        <v>8</v>
      </c>
      <c r="E32" s="50">
        <v>54.46</v>
      </c>
      <c r="F32" s="50">
        <v>0</v>
      </c>
      <c r="G32" s="50">
        <v>0</v>
      </c>
      <c r="H32" s="50">
        <v>0</v>
      </c>
      <c r="I32" s="30">
        <f t="shared" si="0"/>
        <v>435.68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1:257" ht="19.5" customHeight="1" x14ac:dyDescent="0.4">
      <c r="B33" s="51"/>
      <c r="C33" s="33" t="s">
        <v>22</v>
      </c>
      <c r="D33" s="52">
        <f>SUM(D27:D32)</f>
        <v>90</v>
      </c>
      <c r="E33" s="53"/>
      <c r="F33" s="53">
        <f>SUM(F27:F32)</f>
        <v>0</v>
      </c>
      <c r="G33" s="53">
        <f>SUM(G27:G32)</f>
        <v>0</v>
      </c>
      <c r="H33" s="53">
        <f>SUM(H27:H32)</f>
        <v>0</v>
      </c>
      <c r="I33" s="53">
        <f>SUM(I27:I32)</f>
        <v>4901.4000000000005</v>
      </c>
    </row>
    <row r="34" spans="1:257" ht="19.5" customHeight="1" x14ac:dyDescent="0.4">
      <c r="A34" s="21"/>
      <c r="B34" s="42">
        <v>9</v>
      </c>
      <c r="C34" s="36" t="s">
        <v>36</v>
      </c>
      <c r="D34" s="37"/>
      <c r="E34" s="38"/>
      <c r="F34" s="38"/>
      <c r="G34" s="38"/>
      <c r="H34" s="38"/>
      <c r="I34" s="39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1:257" ht="19.5" customHeight="1" x14ac:dyDescent="0.4">
      <c r="A35" s="21"/>
      <c r="B35" s="26">
        <v>9.1</v>
      </c>
      <c r="C35" s="27" t="s">
        <v>37</v>
      </c>
      <c r="D35" s="54">
        <v>0</v>
      </c>
      <c r="E35" s="55">
        <v>0</v>
      </c>
      <c r="F35" s="55">
        <v>0</v>
      </c>
      <c r="G35" s="55">
        <v>0</v>
      </c>
      <c r="H35" s="55">
        <v>1200</v>
      </c>
      <c r="I35" s="30">
        <f t="shared" ref="I35:I41" si="1">(D35*E35)+F35+G35+H35</f>
        <v>1200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1:257" ht="19.5" customHeight="1" x14ac:dyDescent="0.4">
      <c r="A36" s="21"/>
      <c r="B36" s="26">
        <v>9.1999999999999993</v>
      </c>
      <c r="C36" s="27" t="s">
        <v>38</v>
      </c>
      <c r="D36" s="40">
        <v>0</v>
      </c>
      <c r="E36" s="29">
        <v>0</v>
      </c>
      <c r="F36" s="29">
        <v>0</v>
      </c>
      <c r="G36" s="29">
        <v>0</v>
      </c>
      <c r="H36" s="29">
        <v>1500</v>
      </c>
      <c r="I36" s="30">
        <f t="shared" si="1"/>
        <v>1500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1:257" ht="19.5" customHeight="1" x14ac:dyDescent="0.4">
      <c r="A37" s="21"/>
      <c r="B37" s="26">
        <v>9.3000000000000007</v>
      </c>
      <c r="C37" s="27" t="s">
        <v>39</v>
      </c>
      <c r="D37" s="40">
        <v>0</v>
      </c>
      <c r="E37" s="29">
        <v>0</v>
      </c>
      <c r="F37" s="29">
        <v>0</v>
      </c>
      <c r="G37" s="29">
        <v>0</v>
      </c>
      <c r="H37" s="29">
        <v>500</v>
      </c>
      <c r="I37" s="30">
        <f t="shared" si="1"/>
        <v>500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1:257" ht="19.5" customHeight="1" x14ac:dyDescent="0.4">
      <c r="A38" s="21"/>
      <c r="B38" s="26">
        <v>9.4</v>
      </c>
      <c r="C38" s="27" t="s">
        <v>40</v>
      </c>
      <c r="D38" s="40">
        <v>0</v>
      </c>
      <c r="E38" s="29">
        <v>0</v>
      </c>
      <c r="F38" s="29">
        <v>0</v>
      </c>
      <c r="G38" s="29">
        <v>0</v>
      </c>
      <c r="H38" s="29">
        <v>300</v>
      </c>
      <c r="I38" s="30">
        <f t="shared" si="1"/>
        <v>300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1:257" ht="19.5" customHeight="1" x14ac:dyDescent="0.4">
      <c r="A39" s="21"/>
      <c r="B39" s="26">
        <v>9.5</v>
      </c>
      <c r="C39" s="27" t="s">
        <v>41</v>
      </c>
      <c r="D39" s="40">
        <v>0</v>
      </c>
      <c r="E39" s="29">
        <v>0</v>
      </c>
      <c r="F39" s="29">
        <v>0</v>
      </c>
      <c r="G39" s="29">
        <v>0</v>
      </c>
      <c r="H39" s="29">
        <v>1260</v>
      </c>
      <c r="I39" s="30">
        <f t="shared" si="1"/>
        <v>1260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1:257" ht="19.5" customHeight="1" x14ac:dyDescent="0.4">
      <c r="A40" s="21"/>
      <c r="B40" s="26">
        <v>9.6</v>
      </c>
      <c r="C40" s="27" t="s">
        <v>42</v>
      </c>
      <c r="D40" s="40">
        <v>0</v>
      </c>
      <c r="E40" s="29">
        <v>0</v>
      </c>
      <c r="F40" s="29">
        <v>0</v>
      </c>
      <c r="G40" s="29">
        <v>0</v>
      </c>
      <c r="H40" s="29">
        <v>1500</v>
      </c>
      <c r="I40" s="30">
        <f t="shared" si="1"/>
        <v>1500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1:257" ht="19.5" customHeight="1" x14ac:dyDescent="0.4">
      <c r="A41" s="21"/>
      <c r="B41" s="26">
        <v>9.6999999999999993</v>
      </c>
      <c r="C41" s="27" t="s">
        <v>43</v>
      </c>
      <c r="D41" s="40">
        <v>0</v>
      </c>
      <c r="E41" s="29">
        <v>0</v>
      </c>
      <c r="F41" s="29">
        <v>0</v>
      </c>
      <c r="G41" s="29">
        <v>0</v>
      </c>
      <c r="H41" s="29">
        <v>1000</v>
      </c>
      <c r="I41" s="30">
        <f t="shared" si="1"/>
        <v>1000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1:257" ht="19.5" customHeight="1" x14ac:dyDescent="0.4">
      <c r="A42" s="21"/>
      <c r="B42" s="32"/>
      <c r="C42" s="33" t="s">
        <v>22</v>
      </c>
      <c r="D42" s="41">
        <f>SUM(D35:D41)</f>
        <v>0</v>
      </c>
      <c r="E42" s="35"/>
      <c r="F42" s="35">
        <f>SUM(F35:F41)</f>
        <v>0</v>
      </c>
      <c r="G42" s="35">
        <f>SUM(G35:G41)</f>
        <v>0</v>
      </c>
      <c r="H42" s="35">
        <f>SUM(H35:H41)</f>
        <v>7260</v>
      </c>
      <c r="I42" s="35">
        <f>SUM(I35:I41)</f>
        <v>7260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1:257" ht="19.5" customHeight="1" x14ac:dyDescent="0.4">
      <c r="A43" s="21"/>
      <c r="B43" s="22" t="s">
        <v>44</v>
      </c>
      <c r="C43" s="56" t="s">
        <v>45</v>
      </c>
      <c r="D43" s="57">
        <v>0</v>
      </c>
      <c r="E43" s="58">
        <v>0</v>
      </c>
      <c r="F43" s="58">
        <v>0</v>
      </c>
      <c r="G43" s="58">
        <v>0</v>
      </c>
      <c r="H43" s="58">
        <v>0</v>
      </c>
      <c r="I43" s="30">
        <f>(D43*E43)+F43+G43+H43</f>
        <v>0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1:257" ht="19.5" customHeight="1" x14ac:dyDescent="0.4">
      <c r="A44" s="21"/>
      <c r="B44" s="22" t="s">
        <v>46</v>
      </c>
      <c r="C44" s="59" t="s">
        <v>45</v>
      </c>
      <c r="D44" s="57">
        <v>0</v>
      </c>
      <c r="E44" s="58">
        <v>0</v>
      </c>
      <c r="F44" s="58">
        <v>0</v>
      </c>
      <c r="G44" s="58">
        <v>0</v>
      </c>
      <c r="H44" s="58">
        <v>0</v>
      </c>
      <c r="I44" s="30">
        <f>(D44*E44)+F44+G44+H44</f>
        <v>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1:257" ht="19.5" customHeight="1" x14ac:dyDescent="0.4">
      <c r="A45" s="21"/>
      <c r="B45" s="6" t="s">
        <v>47</v>
      </c>
      <c r="C45" s="6"/>
      <c r="D45" s="60">
        <f>SUM(D18,D25,D33,D42,D43,D44)</f>
        <v>600</v>
      </c>
      <c r="E45" s="61"/>
      <c r="F45" s="61">
        <f>SUM(F18,F25,F33,F42,F43,F44)</f>
        <v>1200</v>
      </c>
      <c r="G45" s="61">
        <f>SUM(G18,G25,G33,G42,G43,G44)</f>
        <v>0</v>
      </c>
      <c r="H45" s="61">
        <f>SUM(H18,H25,H33,H42,H43,H44)</f>
        <v>7260</v>
      </c>
      <c r="I45" s="61">
        <f>SUM(I18,I25,I33,I42,I43,I44)</f>
        <v>44771.200000000004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1:257" ht="19.5" customHeight="1" x14ac:dyDescent="0.4">
      <c r="A46" s="21"/>
      <c r="B46" s="5" t="s">
        <v>48</v>
      </c>
      <c r="C46" s="5"/>
      <c r="D46" s="40">
        <v>0</v>
      </c>
      <c r="E46" s="29">
        <v>0</v>
      </c>
      <c r="F46" s="29">
        <v>0</v>
      </c>
      <c r="G46" s="29">
        <v>0</v>
      </c>
      <c r="H46" s="29">
        <v>27696.799999999999</v>
      </c>
      <c r="I46" s="30">
        <f>(D46*E46)+F46+G46+H46</f>
        <v>27696.799999999999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1:257" ht="19.5" customHeight="1" x14ac:dyDescent="0.4">
      <c r="A47" s="21"/>
      <c r="B47" s="4" t="s">
        <v>49</v>
      </c>
      <c r="C47" s="4"/>
      <c r="D47" s="60">
        <f>SUM(D45,D46)</f>
        <v>600</v>
      </c>
      <c r="E47" s="61"/>
      <c r="F47" s="61">
        <f>SUM(F45,F46)</f>
        <v>1200</v>
      </c>
      <c r="G47" s="61">
        <f>SUM(G45,G46)</f>
        <v>0</v>
      </c>
      <c r="H47" s="61">
        <f>SUM(H45,H46)</f>
        <v>34956.800000000003</v>
      </c>
      <c r="I47" s="61">
        <f>SUM(I45:I46)</f>
        <v>72468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1:257" ht="39.75" customHeight="1" x14ac:dyDescent="0.4">
      <c r="B48" s="62" t="s">
        <v>50</v>
      </c>
      <c r="C48" s="3" t="s">
        <v>51</v>
      </c>
      <c r="D48" s="3"/>
      <c r="E48" s="3"/>
      <c r="F48" s="3"/>
      <c r="G48" s="3"/>
      <c r="H48" s="3"/>
      <c r="I48" s="3"/>
    </row>
    <row r="49" spans="2:2" ht="12.75" customHeight="1" x14ac:dyDescent="0.4"/>
    <row r="50" spans="2:2" ht="12.75" customHeight="1" x14ac:dyDescent="0.4"/>
    <row r="51" spans="2:2" ht="12.75" customHeight="1" x14ac:dyDescent="0.4">
      <c r="B51" s="63"/>
    </row>
    <row r="52" spans="2:2" ht="12.75" customHeight="1" x14ac:dyDescent="0.4"/>
    <row r="53" spans="2:2" ht="12.75" customHeight="1" x14ac:dyDescent="0.4"/>
  </sheetData>
  <mergeCells count="18">
    <mergeCell ref="B45:C45"/>
    <mergeCell ref="B46:C46"/>
    <mergeCell ref="B47:C47"/>
    <mergeCell ref="C48:I48"/>
    <mergeCell ref="B8:I8"/>
    <mergeCell ref="B9:I9"/>
    <mergeCell ref="B10:C11"/>
    <mergeCell ref="D10:D11"/>
    <mergeCell ref="E10:E11"/>
    <mergeCell ref="F10:F11"/>
    <mergeCell ref="G10:G11"/>
    <mergeCell ref="H10:H11"/>
    <mergeCell ref="I10:I11"/>
    <mergeCell ref="B2:I2"/>
    <mergeCell ref="D3:I4"/>
    <mergeCell ref="B5:I5"/>
    <mergeCell ref="B6:I6"/>
    <mergeCell ref="B7:I7"/>
  </mergeCells>
  <pageMargins left="0.75" right="0.75" top="1" bottom="1" header="0.5" footer="0.5"/>
  <pageSetup scale="95" orientation="landscape" horizontalDpi="300" verticalDpi="300"/>
  <headerFooter>
    <oddHeader>&amp;C&amp;"Arial,Bold"&amp;14 Project Budget Form&amp;R&amp;"Arial,Bold"&amp;12 Your Organization_x005F_x000a_Name Here</oddHeader>
    <oddFooter>&amp;L&amp;8 Project Budget Form Rev. 2.2, 08/30/2004&amp;CPage &amp;P of &amp;N&amp;RPrint Date: &amp;D</oddFooter>
  </headerFooter>
  <rowBreaks count="1" manualBreakCount="1">
    <brk id="25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49"/>
  <sheetViews>
    <sheetView topLeftCell="A3" zoomScaleNormal="100" workbookViewId="0">
      <selection activeCell="A18" sqref="A18"/>
    </sheetView>
  </sheetViews>
  <sheetFormatPr baseColWidth="10" defaultColWidth="9.109375" defaultRowHeight="12.3" x14ac:dyDescent="0.4"/>
  <cols>
    <col min="1" max="1" width="35" style="15" customWidth="1"/>
    <col min="2" max="2" width="13.5546875" style="15" customWidth="1"/>
    <col min="3" max="3" width="17.1640625" style="15" customWidth="1"/>
    <col min="4" max="4" width="45.44140625" style="15" customWidth="1"/>
    <col min="5" max="257" width="9.109375" style="15"/>
  </cols>
  <sheetData>
    <row r="1" spans="1:8" ht="12.75" customHeight="1" x14ac:dyDescent="0.4">
      <c r="A1" s="2"/>
      <c r="B1" s="2"/>
      <c r="C1" s="2"/>
      <c r="D1" s="2"/>
      <c r="E1" s="64"/>
      <c r="F1" s="64"/>
      <c r="G1" s="64"/>
      <c r="H1" s="64"/>
    </row>
    <row r="2" spans="1:8" ht="58.5" customHeight="1" x14ac:dyDescent="0.4">
      <c r="A2" s="1" t="s">
        <v>52</v>
      </c>
      <c r="B2" s="1"/>
      <c r="C2" s="1"/>
      <c r="D2" s="1"/>
    </row>
    <row r="3" spans="1:8" ht="18.75" customHeight="1" x14ac:dyDescent="0.5">
      <c r="A3" s="18" t="s">
        <v>1</v>
      </c>
      <c r="B3" s="103" t="str">
        <f>'Fuentes de Costos del Proyecto'!C3</f>
        <v>CSP Schedule Solver - Sistema de Generación Automática de Horarios Académicos</v>
      </c>
      <c r="C3" s="103"/>
      <c r="D3" s="104"/>
    </row>
    <row r="4" spans="1:8" ht="16.5" customHeight="1" x14ac:dyDescent="0.5">
      <c r="A4" s="18" t="s">
        <v>3</v>
      </c>
      <c r="B4" s="103" t="str">
        <f>'Fuentes de Costos del Proyecto'!C4</f>
        <v>Gabo (72153409@continental.edu.pe)</v>
      </c>
      <c r="C4" s="103"/>
      <c r="D4" s="104"/>
    </row>
    <row r="5" spans="1:8" ht="16.5" customHeight="1" x14ac:dyDescent="0.4">
      <c r="A5" s="105"/>
      <c r="B5" s="105"/>
      <c r="C5" s="105"/>
      <c r="D5" s="105"/>
    </row>
    <row r="6" spans="1:8" ht="12.75" customHeight="1" x14ac:dyDescent="0.45">
      <c r="A6" s="65" t="s">
        <v>53</v>
      </c>
      <c r="B6" s="66"/>
      <c r="C6" s="66"/>
      <c r="D6" s="67"/>
    </row>
    <row r="7" spans="1:8" ht="12.75" customHeight="1" x14ac:dyDescent="0.45">
      <c r="A7" s="65" t="s">
        <v>8</v>
      </c>
      <c r="B7" s="66"/>
      <c r="C7" s="66"/>
      <c r="D7" s="67"/>
    </row>
    <row r="8" spans="1:8" ht="21" customHeight="1" x14ac:dyDescent="0.4">
      <c r="A8" s="68" t="s">
        <v>54</v>
      </c>
      <c r="B8" s="69" t="s">
        <v>55</v>
      </c>
      <c r="C8" s="69" t="s">
        <v>56</v>
      </c>
      <c r="D8" s="69" t="s">
        <v>57</v>
      </c>
    </row>
    <row r="9" spans="1:8" ht="14.25" customHeight="1" x14ac:dyDescent="0.4">
      <c r="A9" s="70" t="s">
        <v>58</v>
      </c>
      <c r="B9" s="71"/>
      <c r="C9" s="72"/>
      <c r="D9" s="73"/>
    </row>
    <row r="10" spans="1:8" ht="14.25" customHeight="1" x14ac:dyDescent="0.4">
      <c r="A10" s="74" t="s">
        <v>59</v>
      </c>
      <c r="B10" s="75">
        <v>46104</v>
      </c>
      <c r="C10" s="76">
        <v>2178.4</v>
      </c>
      <c r="D10" s="77" t="s">
        <v>60</v>
      </c>
    </row>
    <row r="11" spans="1:8" ht="14.25" customHeight="1" x14ac:dyDescent="0.4">
      <c r="A11" s="74" t="s">
        <v>61</v>
      </c>
      <c r="B11" s="75">
        <v>46111</v>
      </c>
      <c r="C11" s="76">
        <v>2178.4</v>
      </c>
      <c r="D11" s="77" t="s">
        <v>60</v>
      </c>
    </row>
    <row r="12" spans="1:8" ht="14.25" customHeight="1" x14ac:dyDescent="0.4">
      <c r="A12" s="74" t="s">
        <v>62</v>
      </c>
      <c r="B12" s="75">
        <v>46113</v>
      </c>
      <c r="C12" s="76">
        <v>1089.2</v>
      </c>
      <c r="D12" s="77" t="s">
        <v>63</v>
      </c>
    </row>
    <row r="13" spans="1:8" ht="14.25" customHeight="1" x14ac:dyDescent="0.4">
      <c r="A13" s="74" t="s">
        <v>64</v>
      </c>
      <c r="B13" s="75">
        <v>46104</v>
      </c>
      <c r="C13" s="76">
        <v>0</v>
      </c>
      <c r="D13" s="77" t="s">
        <v>65</v>
      </c>
    </row>
    <row r="14" spans="1:8" ht="14.25" customHeight="1" x14ac:dyDescent="0.4">
      <c r="A14" s="74" t="s">
        <v>66</v>
      </c>
      <c r="B14" s="75">
        <v>46117</v>
      </c>
      <c r="C14" s="76">
        <v>0</v>
      </c>
      <c r="D14" s="77" t="s">
        <v>67</v>
      </c>
    </row>
    <row r="15" spans="1:8" ht="14.25" customHeight="1" x14ac:dyDescent="0.4">
      <c r="A15" s="74" t="s">
        <v>68</v>
      </c>
      <c r="B15" s="75">
        <v>46117</v>
      </c>
      <c r="C15" s="76">
        <v>0</v>
      </c>
      <c r="D15" s="77" t="s">
        <v>69</v>
      </c>
    </row>
    <row r="16" spans="1:8" ht="15" customHeight="1" x14ac:dyDescent="0.4">
      <c r="A16" s="78" t="s">
        <v>22</v>
      </c>
      <c r="B16" s="79"/>
      <c r="C16" s="80">
        <f>SUM(C10:C15)</f>
        <v>5446</v>
      </c>
      <c r="D16" s="73"/>
    </row>
    <row r="17" spans="1:4" ht="14.25" customHeight="1" x14ac:dyDescent="0.4">
      <c r="A17" s="70" t="s">
        <v>70</v>
      </c>
      <c r="B17" s="81"/>
      <c r="C17" s="72"/>
      <c r="D17" s="73"/>
    </row>
    <row r="18" spans="1:4" ht="15" customHeight="1" x14ac:dyDescent="0.4">
      <c r="A18" s="82" t="s">
        <v>71</v>
      </c>
      <c r="B18" s="75">
        <v>46118</v>
      </c>
      <c r="C18" s="76">
        <v>1307.04</v>
      </c>
      <c r="D18" s="77" t="s">
        <v>72</v>
      </c>
    </row>
    <row r="19" spans="1:4" ht="14.25" customHeight="1" x14ac:dyDescent="0.4">
      <c r="A19" s="74" t="s">
        <v>73</v>
      </c>
      <c r="B19" s="75">
        <v>46121</v>
      </c>
      <c r="C19" s="76">
        <v>2178.4</v>
      </c>
      <c r="D19" s="77" t="s">
        <v>74</v>
      </c>
    </row>
    <row r="20" spans="1:4" ht="14.25" customHeight="1" x14ac:dyDescent="0.4">
      <c r="A20" s="74" t="s">
        <v>75</v>
      </c>
      <c r="B20" s="75">
        <v>46125</v>
      </c>
      <c r="C20" s="76">
        <v>762.44</v>
      </c>
      <c r="D20" s="77" t="s">
        <v>76</v>
      </c>
    </row>
    <row r="21" spans="1:4" ht="14.25" customHeight="1" x14ac:dyDescent="0.4">
      <c r="A21" s="74" t="s">
        <v>77</v>
      </c>
      <c r="B21" s="75">
        <v>46128</v>
      </c>
      <c r="C21" s="76">
        <v>653.52</v>
      </c>
      <c r="D21" s="77" t="s">
        <v>78</v>
      </c>
    </row>
    <row r="22" spans="1:4" ht="14.25" customHeight="1" x14ac:dyDescent="0.4">
      <c r="A22" s="74" t="s">
        <v>79</v>
      </c>
      <c r="B22" s="75">
        <v>46130</v>
      </c>
      <c r="C22" s="76">
        <v>0</v>
      </c>
      <c r="D22" s="77" t="s">
        <v>80</v>
      </c>
    </row>
    <row r="23" spans="1:4" ht="14.25" customHeight="1" x14ac:dyDescent="0.4">
      <c r="A23" s="82" t="s">
        <v>81</v>
      </c>
      <c r="B23" s="75">
        <v>46131</v>
      </c>
      <c r="C23" s="76">
        <v>0</v>
      </c>
      <c r="D23" s="77" t="s">
        <v>82</v>
      </c>
    </row>
    <row r="24" spans="1:4" ht="15" customHeight="1" x14ac:dyDescent="0.4">
      <c r="A24" s="78" t="s">
        <v>22</v>
      </c>
      <c r="B24" s="79"/>
      <c r="C24" s="80">
        <f>SUM(C18:C23)</f>
        <v>4901.3999999999996</v>
      </c>
      <c r="D24" s="73"/>
    </row>
    <row r="25" spans="1:4" ht="14.25" customHeight="1" x14ac:dyDescent="0.4">
      <c r="A25" s="70" t="s">
        <v>83</v>
      </c>
      <c r="B25" s="81"/>
      <c r="C25" s="72"/>
      <c r="D25" s="73"/>
    </row>
    <row r="26" spans="1:4" ht="14.25" customHeight="1" x14ac:dyDescent="0.4">
      <c r="A26" s="82" t="s">
        <v>84</v>
      </c>
      <c r="B26" s="75">
        <v>46132</v>
      </c>
      <c r="C26" s="76">
        <v>3771.5</v>
      </c>
      <c r="D26" s="77" t="s">
        <v>85</v>
      </c>
    </row>
    <row r="27" spans="1:4" ht="14.25" customHeight="1" x14ac:dyDescent="0.4">
      <c r="A27" s="74" t="s">
        <v>86</v>
      </c>
      <c r="B27" s="75">
        <v>46137</v>
      </c>
      <c r="C27" s="76">
        <v>2262.9</v>
      </c>
      <c r="D27" s="77" t="s">
        <v>87</v>
      </c>
    </row>
    <row r="28" spans="1:4" ht="14.25" customHeight="1" x14ac:dyDescent="0.4">
      <c r="A28" s="74" t="s">
        <v>88</v>
      </c>
      <c r="B28" s="75">
        <v>46139</v>
      </c>
      <c r="C28" s="76">
        <v>1885.75</v>
      </c>
      <c r="D28" s="77" t="s">
        <v>89</v>
      </c>
    </row>
    <row r="29" spans="1:4" ht="14.25" customHeight="1" x14ac:dyDescent="0.4">
      <c r="A29" s="74" t="s">
        <v>90</v>
      </c>
      <c r="B29" s="75">
        <v>46142</v>
      </c>
      <c r="C29" s="76">
        <v>2262.9</v>
      </c>
      <c r="D29" s="77" t="s">
        <v>87</v>
      </c>
    </row>
    <row r="30" spans="1:4" ht="14.25" customHeight="1" x14ac:dyDescent="0.4">
      <c r="A30" s="74" t="s">
        <v>91</v>
      </c>
      <c r="B30" s="75">
        <v>46144</v>
      </c>
      <c r="C30" s="76">
        <v>1131.45</v>
      </c>
      <c r="D30" s="77" t="s">
        <v>92</v>
      </c>
    </row>
    <row r="31" spans="1:4" ht="14.25" customHeight="1" x14ac:dyDescent="0.4">
      <c r="A31" s="82" t="s">
        <v>93</v>
      </c>
      <c r="B31" s="75">
        <v>46145</v>
      </c>
      <c r="C31" s="76">
        <v>0</v>
      </c>
      <c r="D31" s="77" t="s">
        <v>94</v>
      </c>
    </row>
    <row r="32" spans="1:4" ht="15" customHeight="1" x14ac:dyDescent="0.4">
      <c r="A32" s="78" t="s">
        <v>22</v>
      </c>
      <c r="B32" s="79"/>
      <c r="C32" s="80">
        <f>SUM(C26:C31)</f>
        <v>11314.5</v>
      </c>
      <c r="D32" s="73"/>
    </row>
    <row r="33" spans="1:4" ht="14.25" customHeight="1" x14ac:dyDescent="0.4">
      <c r="A33" s="70" t="s">
        <v>95</v>
      </c>
      <c r="B33" s="81"/>
      <c r="C33" s="72"/>
      <c r="D33" s="73"/>
    </row>
    <row r="34" spans="1:4" ht="14.25" customHeight="1" x14ac:dyDescent="0.4">
      <c r="A34" s="82" t="s">
        <v>96</v>
      </c>
      <c r="B34" s="75">
        <v>46146</v>
      </c>
      <c r="C34" s="76">
        <v>2995.5</v>
      </c>
      <c r="D34" s="77" t="s">
        <v>97</v>
      </c>
    </row>
    <row r="35" spans="1:4" ht="14.25" customHeight="1" x14ac:dyDescent="0.4">
      <c r="A35" s="74" t="s">
        <v>98</v>
      </c>
      <c r="B35" s="75">
        <v>46160</v>
      </c>
      <c r="C35" s="76">
        <v>1829.76</v>
      </c>
      <c r="D35" s="77" t="s">
        <v>99</v>
      </c>
    </row>
    <row r="36" spans="1:4" ht="14.25" customHeight="1" x14ac:dyDescent="0.4">
      <c r="A36" s="74" t="s">
        <v>100</v>
      </c>
      <c r="B36" s="75">
        <v>46164</v>
      </c>
      <c r="C36" s="76">
        <v>2744.64</v>
      </c>
      <c r="D36" s="77" t="s">
        <v>101</v>
      </c>
    </row>
    <row r="37" spans="1:4" ht="14.25" customHeight="1" x14ac:dyDescent="0.4">
      <c r="A37" s="74" t="s">
        <v>102</v>
      </c>
      <c r="B37" s="75">
        <v>46174</v>
      </c>
      <c r="C37" s="76">
        <v>2178.4</v>
      </c>
      <c r="D37" s="77" t="s">
        <v>103</v>
      </c>
    </row>
    <row r="38" spans="1:4" ht="14.25" customHeight="1" x14ac:dyDescent="0.4">
      <c r="A38" s="74" t="s">
        <v>104</v>
      </c>
      <c r="B38" s="75">
        <v>46132</v>
      </c>
      <c r="C38" s="76">
        <v>1200</v>
      </c>
      <c r="D38" s="77" t="s">
        <v>105</v>
      </c>
    </row>
    <row r="39" spans="1:4" ht="14.25" customHeight="1" x14ac:dyDescent="0.4">
      <c r="A39" s="82" t="s">
        <v>106</v>
      </c>
      <c r="B39" s="75">
        <v>46187</v>
      </c>
      <c r="C39" s="76">
        <v>0</v>
      </c>
      <c r="D39" s="77" t="s">
        <v>107</v>
      </c>
    </row>
    <row r="40" spans="1:4" ht="15" customHeight="1" x14ac:dyDescent="0.4">
      <c r="A40" s="78" t="s">
        <v>22</v>
      </c>
      <c r="B40" s="79"/>
      <c r="C40" s="80">
        <f>SUM(C34:C39)</f>
        <v>10948.3</v>
      </c>
      <c r="D40" s="73"/>
    </row>
    <row r="41" spans="1:4" ht="14.25" customHeight="1" x14ac:dyDescent="0.4">
      <c r="A41" s="70" t="s">
        <v>108</v>
      </c>
      <c r="B41" s="81"/>
      <c r="C41" s="72"/>
      <c r="D41" s="73"/>
    </row>
    <row r="42" spans="1:4" ht="14.25" customHeight="1" x14ac:dyDescent="0.4">
      <c r="A42" s="82" t="s">
        <v>109</v>
      </c>
      <c r="B42" s="75">
        <v>46188</v>
      </c>
      <c r="C42" s="76">
        <v>2723</v>
      </c>
      <c r="D42" s="77" t="s">
        <v>110</v>
      </c>
    </row>
    <row r="43" spans="1:4" ht="14.25" customHeight="1" x14ac:dyDescent="0.4">
      <c r="A43" s="74" t="s">
        <v>111</v>
      </c>
      <c r="B43" s="75">
        <v>46195</v>
      </c>
      <c r="C43" s="76">
        <v>1307.04</v>
      </c>
      <c r="D43" s="77" t="s">
        <v>112</v>
      </c>
    </row>
    <row r="44" spans="1:4" ht="14.25" customHeight="1" x14ac:dyDescent="0.4">
      <c r="A44" s="74" t="s">
        <v>113</v>
      </c>
      <c r="B44" s="75">
        <v>46202</v>
      </c>
      <c r="C44" s="76">
        <v>870.96</v>
      </c>
      <c r="D44" s="77" t="s">
        <v>114</v>
      </c>
    </row>
    <row r="45" spans="1:4" ht="14.25" customHeight="1" x14ac:dyDescent="0.4">
      <c r="A45" s="74" t="s">
        <v>115</v>
      </c>
      <c r="B45" s="75">
        <v>46204</v>
      </c>
      <c r="C45" s="76">
        <v>7260</v>
      </c>
      <c r="D45" s="77" t="s">
        <v>116</v>
      </c>
    </row>
    <row r="46" spans="1:4" ht="14.25" customHeight="1" x14ac:dyDescent="0.4">
      <c r="A46" s="74" t="s">
        <v>117</v>
      </c>
      <c r="B46" s="75">
        <v>46206</v>
      </c>
      <c r="C46" s="76">
        <v>0</v>
      </c>
      <c r="D46" s="77" t="s">
        <v>118</v>
      </c>
    </row>
    <row r="47" spans="1:4" ht="14.25" customHeight="1" x14ac:dyDescent="0.4">
      <c r="A47" s="82" t="s">
        <v>119</v>
      </c>
      <c r="B47" s="75">
        <v>46208</v>
      </c>
      <c r="C47" s="76">
        <v>27696.799999999999</v>
      </c>
      <c r="D47" s="77" t="s">
        <v>120</v>
      </c>
    </row>
    <row r="48" spans="1:4" ht="15" customHeight="1" x14ac:dyDescent="0.4">
      <c r="A48" s="78" t="s">
        <v>121</v>
      </c>
      <c r="B48" s="79"/>
      <c r="C48" s="80">
        <f>SUM(C42:C47)</f>
        <v>39857.800000000003</v>
      </c>
      <c r="D48" s="73"/>
    </row>
    <row r="49" spans="1:4" ht="15" customHeight="1" x14ac:dyDescent="0.4">
      <c r="A49" s="83" t="s">
        <v>122</v>
      </c>
      <c r="B49" s="84"/>
      <c r="C49" s="85">
        <f>SUM(C16,C24,C32,C40,C48)</f>
        <v>72468</v>
      </c>
      <c r="D49" s="73"/>
    </row>
  </sheetData>
  <mergeCells count="6">
    <mergeCell ref="A5:D5"/>
    <mergeCell ref="A1:D1"/>
    <mergeCell ref="A2:D2"/>
    <mergeCell ref="B3:C3"/>
    <mergeCell ref="D3:D4"/>
    <mergeCell ref="B4:C4"/>
  </mergeCells>
  <pageMargins left="0.75" right="0.75" top="1" bottom="1" header="0.5" footer="0.5"/>
  <pageSetup scale="93" orientation="landscape" horizontalDpi="300" verticalDpi="300"/>
  <headerFooter>
    <oddHeader>&amp;LPut your logo here&amp;C&amp;"Arial,Bold"&amp;14 Project Budget Template&amp;R&amp;"Arial,Bold"&amp;12 Your Organization_x005F_x000a_Name Here</oddHeader>
    <oddFooter>&amp;L&amp;8 Template: Project Budget Template [Rev. 2.2 8-30-04]&amp;CPage &amp;P of &amp;N&amp;RPrint Date: &amp;D</oddFooter>
  </headerFooter>
  <rowBreaks count="1" manualBreakCount="1">
    <brk id="2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49"/>
  <sheetViews>
    <sheetView zoomScaleNormal="100" workbookViewId="0">
      <selection activeCell="C16" sqref="C16"/>
    </sheetView>
  </sheetViews>
  <sheetFormatPr baseColWidth="10" defaultColWidth="9.109375" defaultRowHeight="12.3" x14ac:dyDescent="0.4"/>
  <cols>
    <col min="1" max="1" width="35" style="15" customWidth="1"/>
    <col min="2" max="2" width="13.5546875" style="15" customWidth="1"/>
    <col min="3" max="3" width="17.1640625" style="15" customWidth="1"/>
    <col min="4" max="4" width="45.44140625" style="15" customWidth="1"/>
    <col min="5" max="257" width="9.109375" style="15"/>
  </cols>
  <sheetData>
    <row r="1" spans="1:8" ht="12.75" customHeight="1" x14ac:dyDescent="0.4">
      <c r="A1" s="2"/>
      <c r="B1" s="2"/>
      <c r="C1" s="2"/>
      <c r="D1" s="2"/>
      <c r="E1" s="64"/>
      <c r="F1" s="64"/>
      <c r="G1" s="64"/>
      <c r="H1" s="64"/>
    </row>
    <row r="2" spans="1:8" ht="58.5" customHeight="1" x14ac:dyDescent="0.4">
      <c r="A2" s="1" t="s">
        <v>123</v>
      </c>
      <c r="B2" s="1"/>
      <c r="C2" s="1"/>
      <c r="D2" s="1"/>
    </row>
    <row r="3" spans="1:8" ht="18.75" customHeight="1" x14ac:dyDescent="0.5">
      <c r="A3" s="18" t="s">
        <v>1</v>
      </c>
      <c r="B3" s="103" t="str">
        <f>'Fuentes de Costos del Proyecto'!C3</f>
        <v>CSP Schedule Solver - Sistema de Generación Automática de Horarios Académicos</v>
      </c>
      <c r="C3" s="103"/>
      <c r="D3" s="104"/>
    </row>
    <row r="4" spans="1:8" ht="16.5" customHeight="1" x14ac:dyDescent="0.5">
      <c r="A4" s="18" t="s">
        <v>3</v>
      </c>
      <c r="B4" s="103" t="str">
        <f>'Fuentes de Costos del Proyecto'!C4</f>
        <v>Gabo (72153409@continental.edu.pe)</v>
      </c>
      <c r="C4" s="103"/>
      <c r="D4" s="104"/>
    </row>
    <row r="5" spans="1:8" ht="16.5" customHeight="1" x14ac:dyDescent="0.4">
      <c r="A5" s="105"/>
      <c r="B5" s="105"/>
      <c r="C5" s="105"/>
      <c r="D5" s="105"/>
    </row>
    <row r="6" spans="1:8" ht="12.75" customHeight="1" x14ac:dyDescent="0.45">
      <c r="A6" s="65" t="s">
        <v>53</v>
      </c>
      <c r="B6" s="66"/>
      <c r="C6" s="66"/>
      <c r="D6" s="67"/>
    </row>
    <row r="7" spans="1:8" ht="12.75" customHeight="1" x14ac:dyDescent="0.45">
      <c r="A7" s="65" t="s">
        <v>8</v>
      </c>
      <c r="B7" s="66"/>
      <c r="C7" s="66"/>
      <c r="D7" s="67"/>
    </row>
    <row r="8" spans="1:8" ht="21" customHeight="1" x14ac:dyDescent="0.4">
      <c r="A8" s="68" t="s">
        <v>54</v>
      </c>
      <c r="B8" s="69" t="s">
        <v>55</v>
      </c>
      <c r="C8" s="69" t="s">
        <v>56</v>
      </c>
      <c r="D8" s="69" t="s">
        <v>57</v>
      </c>
    </row>
    <row r="9" spans="1:8" ht="14.25" customHeight="1" x14ac:dyDescent="0.4">
      <c r="A9" s="70" t="s">
        <v>124</v>
      </c>
      <c r="B9" s="71"/>
      <c r="C9" s="72"/>
      <c r="D9" s="73"/>
    </row>
    <row r="10" spans="1:8" ht="14.25" customHeight="1" x14ac:dyDescent="0.4">
      <c r="A10" s="74" t="s">
        <v>59</v>
      </c>
      <c r="B10" s="75">
        <v>46111</v>
      </c>
      <c r="C10" s="76">
        <v>2178.4</v>
      </c>
      <c r="D10" s="77" t="s">
        <v>60</v>
      </c>
    </row>
    <row r="11" spans="1:8" ht="14.25" customHeight="1" x14ac:dyDescent="0.4">
      <c r="A11" s="74" t="s">
        <v>61</v>
      </c>
      <c r="B11" s="75">
        <v>46113</v>
      </c>
      <c r="C11" s="76">
        <v>2178.4</v>
      </c>
      <c r="D11" s="77" t="s">
        <v>60</v>
      </c>
    </row>
    <row r="12" spans="1:8" ht="14.25" customHeight="1" x14ac:dyDescent="0.4">
      <c r="A12" s="74" t="s">
        <v>62</v>
      </c>
      <c r="B12" s="75">
        <v>46115</v>
      </c>
      <c r="C12" s="76">
        <v>1089.2</v>
      </c>
      <c r="D12" s="77" t="s">
        <v>63</v>
      </c>
    </row>
    <row r="13" spans="1:8" ht="14.25" customHeight="1" x14ac:dyDescent="0.4">
      <c r="A13" s="74" t="s">
        <v>125</v>
      </c>
      <c r="B13" s="75">
        <v>46104</v>
      </c>
      <c r="C13" s="76">
        <v>0</v>
      </c>
      <c r="D13" s="77" t="s">
        <v>126</v>
      </c>
    </row>
    <row r="14" spans="1:8" ht="14.25" customHeight="1" x14ac:dyDescent="0.4">
      <c r="A14" s="74" t="s">
        <v>127</v>
      </c>
      <c r="B14" s="75">
        <v>46117</v>
      </c>
      <c r="C14" s="76">
        <v>0</v>
      </c>
      <c r="D14" s="77" t="s">
        <v>128</v>
      </c>
    </row>
    <row r="15" spans="1:8" ht="14.25" customHeight="1" x14ac:dyDescent="0.4">
      <c r="A15" s="74"/>
      <c r="B15" s="75"/>
      <c r="C15" s="76">
        <v>0</v>
      </c>
      <c r="D15" s="77"/>
    </row>
    <row r="16" spans="1:8" ht="15" customHeight="1" x14ac:dyDescent="0.4">
      <c r="A16" s="78" t="s">
        <v>22</v>
      </c>
      <c r="B16" s="79"/>
      <c r="C16" s="80">
        <f>SUM(C10:C15)</f>
        <v>5446</v>
      </c>
      <c r="D16" s="73"/>
    </row>
    <row r="17" spans="1:4" ht="14.25" customHeight="1" x14ac:dyDescent="0.4">
      <c r="A17" s="70" t="s">
        <v>129</v>
      </c>
      <c r="B17" s="81"/>
      <c r="C17" s="72"/>
      <c r="D17" s="73"/>
    </row>
    <row r="18" spans="1:4" ht="15" customHeight="1" x14ac:dyDescent="0.4">
      <c r="A18" s="82" t="s">
        <v>71</v>
      </c>
      <c r="B18" s="75">
        <v>46118</v>
      </c>
      <c r="C18" s="76">
        <v>1307.04</v>
      </c>
      <c r="D18" s="77" t="s">
        <v>72</v>
      </c>
    </row>
    <row r="19" spans="1:4" ht="14.25" customHeight="1" x14ac:dyDescent="0.4">
      <c r="A19" s="74" t="s">
        <v>73</v>
      </c>
      <c r="B19" s="75">
        <v>46121</v>
      </c>
      <c r="C19" s="76">
        <v>2178.4</v>
      </c>
      <c r="D19" s="77" t="s">
        <v>74</v>
      </c>
    </row>
    <row r="20" spans="1:4" ht="14.25" customHeight="1" x14ac:dyDescent="0.4">
      <c r="A20" s="74" t="s">
        <v>75</v>
      </c>
      <c r="B20" s="75">
        <v>46125</v>
      </c>
      <c r="C20" s="76">
        <v>762.44</v>
      </c>
      <c r="D20" s="77" t="s">
        <v>76</v>
      </c>
    </row>
    <row r="21" spans="1:4" ht="14.25" customHeight="1" x14ac:dyDescent="0.4">
      <c r="A21" s="74" t="s">
        <v>77</v>
      </c>
      <c r="B21" s="75">
        <v>46128</v>
      </c>
      <c r="C21" s="76">
        <v>653.52</v>
      </c>
      <c r="D21" s="77" t="s">
        <v>130</v>
      </c>
    </row>
    <row r="22" spans="1:4" ht="14.25" customHeight="1" x14ac:dyDescent="0.4">
      <c r="A22" s="74" t="s">
        <v>131</v>
      </c>
      <c r="B22" s="75">
        <v>46131</v>
      </c>
      <c r="C22" s="76">
        <v>0</v>
      </c>
      <c r="D22" s="77" t="s">
        <v>82</v>
      </c>
    </row>
    <row r="23" spans="1:4" ht="14.25" customHeight="1" x14ac:dyDescent="0.4">
      <c r="A23" s="82"/>
      <c r="B23" s="75"/>
      <c r="C23" s="76">
        <v>0</v>
      </c>
      <c r="D23" s="77"/>
    </row>
    <row r="24" spans="1:4" ht="15" customHeight="1" x14ac:dyDescent="0.4">
      <c r="A24" s="78" t="s">
        <v>22</v>
      </c>
      <c r="B24" s="79"/>
      <c r="C24" s="80">
        <f>SUM(C18:C23)</f>
        <v>4901.3999999999996</v>
      </c>
      <c r="D24" s="73"/>
    </row>
    <row r="25" spans="1:4" ht="14.25" customHeight="1" x14ac:dyDescent="0.4">
      <c r="A25" s="70" t="s">
        <v>132</v>
      </c>
      <c r="B25" s="81"/>
      <c r="C25" s="72"/>
      <c r="D25" s="73"/>
    </row>
    <row r="26" spans="1:4" ht="14.25" customHeight="1" x14ac:dyDescent="0.4">
      <c r="A26" s="82" t="s">
        <v>84</v>
      </c>
      <c r="B26" s="75">
        <v>46132</v>
      </c>
      <c r="C26" s="76">
        <v>3771.5</v>
      </c>
      <c r="D26" s="77" t="s">
        <v>133</v>
      </c>
    </row>
    <row r="27" spans="1:4" ht="14.25" customHeight="1" x14ac:dyDescent="0.4">
      <c r="A27" s="74" t="s">
        <v>86</v>
      </c>
      <c r="B27" s="75">
        <v>46137</v>
      </c>
      <c r="C27" s="76">
        <v>2262.9</v>
      </c>
      <c r="D27" s="77" t="s">
        <v>134</v>
      </c>
    </row>
    <row r="28" spans="1:4" ht="14.25" customHeight="1" x14ac:dyDescent="0.4">
      <c r="A28" s="74" t="s">
        <v>88</v>
      </c>
      <c r="B28" s="75">
        <v>46139</v>
      </c>
      <c r="C28" s="76">
        <v>1885.75</v>
      </c>
      <c r="D28" s="77" t="s">
        <v>135</v>
      </c>
    </row>
    <row r="29" spans="1:4" ht="14.25" customHeight="1" x14ac:dyDescent="0.4">
      <c r="A29" s="74" t="s">
        <v>90</v>
      </c>
      <c r="B29" s="75">
        <v>46142</v>
      </c>
      <c r="C29" s="76">
        <v>2262.9</v>
      </c>
      <c r="D29" s="77" t="s">
        <v>134</v>
      </c>
    </row>
    <row r="30" spans="1:4" ht="14.25" customHeight="1" x14ac:dyDescent="0.4">
      <c r="A30" s="74" t="s">
        <v>91</v>
      </c>
      <c r="B30" s="75">
        <v>46144</v>
      </c>
      <c r="C30" s="76">
        <v>1131.45</v>
      </c>
      <c r="D30" s="77" t="s">
        <v>92</v>
      </c>
    </row>
    <row r="31" spans="1:4" ht="14.25" customHeight="1" x14ac:dyDescent="0.4">
      <c r="A31" s="82" t="s">
        <v>93</v>
      </c>
      <c r="B31" s="75">
        <v>46145</v>
      </c>
      <c r="C31" s="76">
        <v>0</v>
      </c>
      <c r="D31" s="77" t="s">
        <v>136</v>
      </c>
    </row>
    <row r="32" spans="1:4" ht="15" customHeight="1" x14ac:dyDescent="0.4">
      <c r="A32" s="78" t="s">
        <v>22</v>
      </c>
      <c r="B32" s="79"/>
      <c r="C32" s="80">
        <f>SUM(C26:C31)</f>
        <v>11314.5</v>
      </c>
      <c r="D32" s="73"/>
    </row>
    <row r="33" spans="1:4" ht="14.25" customHeight="1" x14ac:dyDescent="0.4">
      <c r="A33" s="70" t="s">
        <v>137</v>
      </c>
      <c r="B33" s="81"/>
      <c r="C33" s="72"/>
      <c r="D33" s="73"/>
    </row>
    <row r="34" spans="1:4" ht="14.25" customHeight="1" x14ac:dyDescent="0.4">
      <c r="A34" s="82" t="s">
        <v>138</v>
      </c>
      <c r="B34" s="75">
        <v>46146</v>
      </c>
      <c r="C34" s="76">
        <v>1797.3</v>
      </c>
      <c r="D34" s="77" t="s">
        <v>139</v>
      </c>
    </row>
    <row r="35" spans="1:4" ht="14.25" customHeight="1" x14ac:dyDescent="0.4">
      <c r="A35" s="74" t="s">
        <v>140</v>
      </c>
      <c r="B35" s="75">
        <v>46153</v>
      </c>
      <c r="C35" s="76">
        <v>1198.2</v>
      </c>
      <c r="D35" s="77" t="s">
        <v>141</v>
      </c>
    </row>
    <row r="36" spans="1:4" ht="14.25" customHeight="1" x14ac:dyDescent="0.4">
      <c r="A36" s="74" t="s">
        <v>142</v>
      </c>
      <c r="B36" s="75">
        <v>46156</v>
      </c>
      <c r="C36" s="76">
        <v>0</v>
      </c>
      <c r="D36" s="77" t="s">
        <v>143</v>
      </c>
    </row>
    <row r="37" spans="1:4" ht="14.25" customHeight="1" x14ac:dyDescent="0.4">
      <c r="A37" s="74"/>
      <c r="B37" s="75"/>
      <c r="C37" s="76">
        <v>0</v>
      </c>
      <c r="D37" s="77"/>
    </row>
    <row r="38" spans="1:4" ht="14.25" customHeight="1" x14ac:dyDescent="0.4">
      <c r="A38" s="74"/>
      <c r="B38" s="75"/>
      <c r="C38" s="76">
        <v>0</v>
      </c>
      <c r="D38" s="77"/>
    </row>
    <row r="39" spans="1:4" ht="14.25" customHeight="1" x14ac:dyDescent="0.4">
      <c r="A39" s="82" t="s">
        <v>144</v>
      </c>
      <c r="B39" s="75">
        <v>46159</v>
      </c>
      <c r="C39" s="76">
        <v>0</v>
      </c>
      <c r="D39" s="77" t="s">
        <v>145</v>
      </c>
    </row>
    <row r="40" spans="1:4" ht="15" customHeight="1" x14ac:dyDescent="0.4">
      <c r="A40" s="78" t="s">
        <v>22</v>
      </c>
      <c r="B40" s="79"/>
      <c r="C40" s="80">
        <f>SUM(C34:C39)</f>
        <v>2995.5</v>
      </c>
      <c r="D40" s="73"/>
    </row>
    <row r="41" spans="1:4" ht="14.25" customHeight="1" x14ac:dyDescent="0.4">
      <c r="A41" s="70" t="s">
        <v>146</v>
      </c>
      <c r="B41" s="81"/>
      <c r="C41" s="72"/>
      <c r="D41" s="73"/>
    </row>
    <row r="42" spans="1:4" ht="14.25" customHeight="1" x14ac:dyDescent="0.4">
      <c r="A42" s="82" t="s">
        <v>147</v>
      </c>
      <c r="B42" s="75">
        <v>46160</v>
      </c>
      <c r="C42" s="76">
        <v>4574.3999999999996</v>
      </c>
      <c r="D42" s="77" t="s">
        <v>148</v>
      </c>
    </row>
    <row r="43" spans="1:4" ht="14.25" customHeight="1" x14ac:dyDescent="0.4">
      <c r="A43" s="74" t="s">
        <v>149</v>
      </c>
      <c r="B43" s="75">
        <v>46174</v>
      </c>
      <c r="C43" s="76">
        <v>2178.4</v>
      </c>
      <c r="D43" s="77" t="s">
        <v>103</v>
      </c>
    </row>
    <row r="44" spans="1:4" ht="14.25" customHeight="1" x14ac:dyDescent="0.4">
      <c r="A44" s="74" t="s">
        <v>150</v>
      </c>
      <c r="B44" s="75">
        <v>46188</v>
      </c>
      <c r="C44" s="76">
        <v>2723</v>
      </c>
      <c r="D44" s="77" t="s">
        <v>110</v>
      </c>
    </row>
    <row r="45" spans="1:4" ht="14.25" customHeight="1" x14ac:dyDescent="0.4">
      <c r="A45" s="74" t="s">
        <v>151</v>
      </c>
      <c r="B45" s="75">
        <v>46195</v>
      </c>
      <c r="C45" s="76">
        <v>1307.04</v>
      </c>
      <c r="D45" s="77" t="s">
        <v>152</v>
      </c>
    </row>
    <row r="46" spans="1:4" ht="14.25" customHeight="1" x14ac:dyDescent="0.4">
      <c r="A46" s="74" t="s">
        <v>153</v>
      </c>
      <c r="B46" s="75">
        <v>46202</v>
      </c>
      <c r="C46" s="76">
        <v>870.96</v>
      </c>
      <c r="D46" s="77" t="s">
        <v>114</v>
      </c>
    </row>
    <row r="47" spans="1:4" ht="14.25" customHeight="1" x14ac:dyDescent="0.4">
      <c r="A47" s="82" t="s">
        <v>154</v>
      </c>
      <c r="B47" s="75">
        <v>46208</v>
      </c>
      <c r="C47" s="76">
        <v>36156.800000000003</v>
      </c>
      <c r="D47" s="77" t="s">
        <v>155</v>
      </c>
    </row>
    <row r="48" spans="1:4" ht="15" customHeight="1" x14ac:dyDescent="0.4">
      <c r="A48" s="78" t="s">
        <v>121</v>
      </c>
      <c r="B48" s="79"/>
      <c r="C48" s="80">
        <f>SUM(C42:C47)</f>
        <v>47810.600000000006</v>
      </c>
      <c r="D48" s="73"/>
    </row>
    <row r="49" spans="1:4" ht="15" customHeight="1" x14ac:dyDescent="0.4">
      <c r="A49" s="83" t="s">
        <v>122</v>
      </c>
      <c r="B49" s="84"/>
      <c r="C49" s="85">
        <f>SUM(C16,C24,C32,C40,C48)</f>
        <v>72468</v>
      </c>
      <c r="D49" s="73"/>
    </row>
  </sheetData>
  <mergeCells count="6">
    <mergeCell ref="A5:D5"/>
    <mergeCell ref="A1:D1"/>
    <mergeCell ref="A2:D2"/>
    <mergeCell ref="B3:C3"/>
    <mergeCell ref="D3:D4"/>
    <mergeCell ref="B4:C4"/>
  </mergeCells>
  <pageMargins left="0.75" right="0.75" top="1" bottom="1" header="0.5" footer="0.5"/>
  <pageSetup scale="93" orientation="landscape" horizontalDpi="300" verticalDpi="300"/>
  <headerFooter>
    <oddHeader>&amp;LPut your logo here&amp;C&amp;"Arial,Bold"&amp;14 Project Budget Template&amp;R&amp;"Arial,Bold"&amp;12 Your Organization_x005F_x000a_Name Here</oddHeader>
    <oddFooter>&amp;L&amp;8 Template: Project Budget Template [Rev. 2.2 8-30-04]&amp;CPage &amp;P of &amp;N&amp;RPrint Date: &amp;D</oddFoot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15"/>
  <sheetViews>
    <sheetView topLeftCell="A5" zoomScaleNormal="100" workbookViewId="0">
      <selection activeCell="A3" sqref="A3"/>
    </sheetView>
  </sheetViews>
  <sheetFormatPr baseColWidth="10" defaultColWidth="9.109375" defaultRowHeight="12.3" x14ac:dyDescent="0.4"/>
  <sheetData>
    <row r="1" spans="1:257" ht="12.75" customHeight="1" x14ac:dyDescent="0.4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257" ht="52.5" customHeight="1" x14ac:dyDescent="0.4">
      <c r="A2" s="107" t="s">
        <v>156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4" spans="1:257" ht="24.75" customHeight="1" x14ac:dyDescent="0.4">
      <c r="A4" s="108" t="s">
        <v>157</v>
      </c>
      <c r="B4" s="108"/>
      <c r="C4" s="108"/>
      <c r="D4" s="108"/>
      <c r="E4" s="108"/>
      <c r="F4" s="108"/>
      <c r="G4" s="108"/>
      <c r="H4" s="108"/>
      <c r="I4" s="108"/>
      <c r="J4" s="108"/>
    </row>
    <row r="5" spans="1:257" ht="12.75" customHeight="1" x14ac:dyDescent="0.4">
      <c r="A5" s="109" t="s">
        <v>158</v>
      </c>
      <c r="B5" s="109"/>
      <c r="C5" s="109"/>
      <c r="D5" s="109"/>
      <c r="E5" s="109"/>
      <c r="F5" s="109"/>
      <c r="G5" s="109"/>
      <c r="H5" s="109"/>
      <c r="I5" s="109"/>
      <c r="J5" s="109"/>
    </row>
    <row r="6" spans="1:257" ht="12.75" customHeight="1" x14ac:dyDescent="0.4">
      <c r="A6" s="109" t="s">
        <v>159</v>
      </c>
      <c r="B6" s="109"/>
      <c r="C6" s="109"/>
      <c r="D6" s="109"/>
      <c r="E6" s="109"/>
      <c r="F6" s="109"/>
      <c r="G6" s="109"/>
      <c r="H6" s="109"/>
      <c r="I6" s="109"/>
      <c r="J6" s="109"/>
    </row>
    <row r="7" spans="1:257" ht="12.75" customHeight="1" x14ac:dyDescent="0.4">
      <c r="A7" s="109" t="s">
        <v>160</v>
      </c>
      <c r="B7" s="109"/>
      <c r="C7" s="109"/>
      <c r="D7" s="109"/>
      <c r="E7" s="109"/>
      <c r="F7" s="109"/>
      <c r="G7" s="109"/>
      <c r="H7" s="109"/>
      <c r="I7" s="109"/>
      <c r="J7" s="109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  <c r="IO7" s="86"/>
      <c r="IP7" s="86"/>
      <c r="IQ7" s="86"/>
      <c r="IR7" s="86"/>
      <c r="IS7" s="86"/>
      <c r="IT7" s="86"/>
      <c r="IU7" s="86"/>
      <c r="IV7" s="86"/>
      <c r="IW7" s="86"/>
    </row>
    <row r="8" spans="1:257" ht="12.75" customHeight="1" x14ac:dyDescent="0.45">
      <c r="A8" s="110" t="s">
        <v>161</v>
      </c>
      <c r="B8" s="110"/>
      <c r="C8" s="110"/>
      <c r="D8" s="110"/>
      <c r="E8" s="110"/>
      <c r="F8" s="110"/>
      <c r="G8" s="110"/>
      <c r="H8" s="110"/>
      <c r="I8" s="110"/>
      <c r="J8" s="110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  <c r="IO8" s="86"/>
      <c r="IP8" s="86"/>
      <c r="IQ8" s="86"/>
      <c r="IR8" s="86"/>
      <c r="IS8" s="86"/>
      <c r="IT8" s="86"/>
      <c r="IU8" s="86"/>
      <c r="IV8" s="86"/>
      <c r="IW8" s="86"/>
    </row>
    <row r="9" spans="1:257" ht="12.75" customHeight="1" x14ac:dyDescent="0.4">
      <c r="A9" s="109" t="s">
        <v>162</v>
      </c>
      <c r="B9" s="109"/>
      <c r="C9" s="109"/>
      <c r="D9" s="109"/>
      <c r="E9" s="109"/>
      <c r="F9" s="109"/>
      <c r="G9" s="109"/>
      <c r="H9" s="109"/>
      <c r="I9" s="109"/>
      <c r="J9" s="109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  <c r="IO9" s="86"/>
      <c r="IP9" s="86"/>
      <c r="IQ9" s="86"/>
      <c r="IR9" s="86"/>
      <c r="IS9" s="86"/>
      <c r="IT9" s="86"/>
      <c r="IU9" s="86"/>
      <c r="IV9" s="86"/>
      <c r="IW9" s="86"/>
    </row>
    <row r="10" spans="1:257" ht="12.75" customHeight="1" x14ac:dyDescent="0.4">
      <c r="A10" s="109" t="s">
        <v>163</v>
      </c>
      <c r="B10" s="109"/>
      <c r="C10" s="109"/>
      <c r="D10" s="109"/>
      <c r="E10" s="109"/>
      <c r="F10" s="109"/>
      <c r="G10" s="109"/>
      <c r="H10" s="109"/>
      <c r="I10" s="109"/>
      <c r="J10" s="109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6"/>
      <c r="GI10" s="86"/>
      <c r="GJ10" s="86"/>
      <c r="GK10" s="86"/>
      <c r="GL10" s="86"/>
      <c r="GM10" s="86"/>
      <c r="GN10" s="86"/>
      <c r="GO10" s="86"/>
      <c r="GP10" s="86"/>
      <c r="GQ10" s="86"/>
      <c r="GR10" s="86"/>
      <c r="GS10" s="86"/>
      <c r="GT10" s="86"/>
      <c r="GU10" s="86"/>
      <c r="GV10" s="86"/>
      <c r="GW10" s="86"/>
      <c r="GX10" s="86"/>
      <c r="GY10" s="86"/>
      <c r="GZ10" s="86"/>
      <c r="HA10" s="86"/>
      <c r="HB10" s="86"/>
      <c r="HC10" s="86"/>
      <c r="HD10" s="86"/>
      <c r="HE10" s="86"/>
      <c r="HF10" s="86"/>
      <c r="HG10" s="86"/>
      <c r="HH10" s="86"/>
      <c r="HI10" s="86"/>
      <c r="HJ10" s="86"/>
      <c r="HK10" s="86"/>
      <c r="HL10" s="86"/>
      <c r="HM10" s="86"/>
      <c r="HN10" s="86"/>
      <c r="HO10" s="86"/>
      <c r="HP10" s="86"/>
      <c r="HQ10" s="86"/>
      <c r="HR10" s="86"/>
      <c r="HS10" s="86"/>
      <c r="HT10" s="86"/>
      <c r="HU10" s="86"/>
      <c r="HV10" s="86"/>
      <c r="HW10" s="86"/>
      <c r="HX10" s="86"/>
      <c r="HY10" s="86"/>
      <c r="HZ10" s="86"/>
      <c r="IA10" s="86"/>
      <c r="IB10" s="86"/>
      <c r="IC10" s="86"/>
      <c r="ID10" s="86"/>
      <c r="IE10" s="86"/>
      <c r="IF10" s="86"/>
      <c r="IG10" s="86"/>
      <c r="IH10" s="86"/>
      <c r="II10" s="86"/>
      <c r="IJ10" s="86"/>
      <c r="IK10" s="86"/>
      <c r="IL10" s="86"/>
      <c r="IM10" s="86"/>
      <c r="IN10" s="86"/>
      <c r="IO10" s="86"/>
      <c r="IP10" s="86"/>
      <c r="IQ10" s="86"/>
      <c r="IR10" s="86"/>
      <c r="IS10" s="86"/>
      <c r="IT10" s="86"/>
      <c r="IU10" s="86"/>
      <c r="IV10" s="86"/>
      <c r="IW10" s="86"/>
    </row>
    <row r="11" spans="1:257" ht="12.75" customHeight="1" x14ac:dyDescent="0.4">
      <c r="A11" s="87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  <c r="FU11" s="86"/>
      <c r="FV11" s="86"/>
      <c r="FW11" s="86"/>
      <c r="FX11" s="86"/>
      <c r="FY11" s="86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/>
      <c r="GS11" s="86"/>
      <c r="GT11" s="86"/>
      <c r="GU11" s="86"/>
      <c r="GV11" s="86"/>
      <c r="GW11" s="86"/>
      <c r="GX11" s="86"/>
      <c r="GY11" s="86"/>
      <c r="GZ11" s="86"/>
      <c r="HA11" s="86"/>
      <c r="HB11" s="86"/>
      <c r="HC11" s="86"/>
      <c r="HD11" s="86"/>
      <c r="HE11" s="86"/>
      <c r="HF11" s="86"/>
      <c r="HG11" s="86"/>
      <c r="HH11" s="86"/>
      <c r="HI11" s="86"/>
      <c r="HJ11" s="86"/>
      <c r="HK11" s="86"/>
      <c r="HL11" s="86"/>
      <c r="HM11" s="86"/>
      <c r="HN11" s="86"/>
      <c r="HO11" s="86"/>
      <c r="HP11" s="86"/>
      <c r="HQ11" s="86"/>
      <c r="HR11" s="86"/>
      <c r="HS11" s="86"/>
      <c r="HT11" s="86"/>
      <c r="HU11" s="86"/>
      <c r="HV11" s="86"/>
      <c r="HW11" s="86"/>
      <c r="HX11" s="86"/>
      <c r="HY11" s="86"/>
      <c r="HZ11" s="86"/>
      <c r="IA11" s="86"/>
      <c r="IB11" s="86"/>
      <c r="IC11" s="86"/>
      <c r="ID11" s="86"/>
      <c r="IE11" s="86"/>
      <c r="IF11" s="86"/>
      <c r="IG11" s="86"/>
      <c r="IH11" s="86"/>
      <c r="II11" s="86"/>
      <c r="IJ11" s="86"/>
      <c r="IK11" s="86"/>
      <c r="IL11" s="86"/>
      <c r="IM11" s="86"/>
      <c r="IN11" s="86"/>
      <c r="IO11" s="86"/>
      <c r="IP11" s="86"/>
      <c r="IQ11" s="86"/>
      <c r="IR11" s="86"/>
      <c r="IS11" s="86"/>
      <c r="IT11" s="86"/>
      <c r="IU11" s="86"/>
      <c r="IV11" s="86"/>
      <c r="IW11" s="86"/>
    </row>
    <row r="12" spans="1:257" ht="15.75" customHeight="1" x14ac:dyDescent="0.55000000000000004">
      <c r="A12" s="88" t="s">
        <v>164</v>
      </c>
    </row>
    <row r="15" spans="1:257" ht="12.75" customHeight="1" x14ac:dyDescent="0.4">
      <c r="A15" s="89"/>
    </row>
  </sheetData>
  <mergeCells count="9">
    <mergeCell ref="A7:J7"/>
    <mergeCell ref="A8:J8"/>
    <mergeCell ref="A9:J9"/>
    <mergeCell ref="A10:J10"/>
    <mergeCell ref="A1:L1"/>
    <mergeCell ref="A2:M2"/>
    <mergeCell ref="A4:J4"/>
    <mergeCell ref="A5:J5"/>
    <mergeCell ref="A6:J6"/>
  </mergeCells>
  <pageMargins left="0.75" right="0.75" top="1" bottom="1" header="0.5" footer="0.5"/>
  <pageSetup orientation="landscape" horizontalDpi="300" verticalDpi="300"/>
  <headerFooter>
    <oddHeader>&amp;LPut your logo here&amp;C&amp;"Arial,Bold"&amp;14 Project Budget Template&amp;R&amp;"Arial,Bold"&amp;12 Your Organization_x005F_x000a_Name Here</oddHeader>
    <oddFooter>&amp;L&amp;8 Template: Project Budget Template [Rel. 2.2 8-30-04]&amp;CPage &amp;P of &amp;N&amp;RPrint Date: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W100"/>
  <sheetViews>
    <sheetView tabSelected="1" topLeftCell="A84" zoomScaleNormal="100" workbookViewId="0">
      <selection activeCell="F103" sqref="F103"/>
    </sheetView>
  </sheetViews>
  <sheetFormatPr baseColWidth="10" defaultColWidth="9.109375" defaultRowHeight="12.3" x14ac:dyDescent="0.4"/>
  <cols>
    <col min="1" max="1" width="11.44140625" customWidth="1"/>
    <col min="2" max="3" width="17.1640625" customWidth="1"/>
    <col min="4" max="4" width="15.83203125" customWidth="1"/>
    <col min="5" max="5" width="17.27734375" customWidth="1"/>
    <col min="6" max="6" width="17.83203125" customWidth="1"/>
  </cols>
  <sheetData>
    <row r="2" spans="1:257" ht="58.5" customHeight="1" x14ac:dyDescent="0.4">
      <c r="B2" s="111" t="s">
        <v>165</v>
      </c>
      <c r="C2" s="111"/>
      <c r="D2" s="111"/>
      <c r="E2" s="111"/>
      <c r="F2" s="111"/>
    </row>
    <row r="3" spans="1:257" ht="26.25" customHeight="1" x14ac:dyDescent="0.4">
      <c r="A3" s="15"/>
      <c r="B3" s="112" t="s">
        <v>166</v>
      </c>
      <c r="C3" s="112"/>
      <c r="D3" s="112"/>
      <c r="E3" s="112"/>
      <c r="F3" s="112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</row>
    <row r="4" spans="1:257" ht="14.25" customHeight="1" x14ac:dyDescent="0.45">
      <c r="A4" s="15"/>
      <c r="B4" s="113" t="s">
        <v>167</v>
      </c>
      <c r="C4" s="113"/>
      <c r="D4" s="113"/>
      <c r="E4" s="113"/>
      <c r="F4" s="113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</row>
    <row r="5" spans="1:257" ht="12.75" customHeight="1" x14ac:dyDescent="0.45">
      <c r="A5" s="15"/>
      <c r="B5" s="110" t="s">
        <v>168</v>
      </c>
      <c r="C5" s="110"/>
      <c r="D5" s="110"/>
      <c r="E5" s="110"/>
      <c r="F5" s="110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</row>
    <row r="6" spans="1:257" ht="12.75" customHeight="1" x14ac:dyDescent="0.45">
      <c r="A6" s="15"/>
      <c r="B6" s="110" t="s">
        <v>169</v>
      </c>
      <c r="C6" s="110"/>
      <c r="D6" s="110"/>
      <c r="E6" s="110"/>
      <c r="F6" s="110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</row>
    <row r="7" spans="1:257" ht="12.75" customHeight="1" x14ac:dyDescent="0.45">
      <c r="A7" s="15"/>
      <c r="B7" s="110" t="s">
        <v>170</v>
      </c>
      <c r="C7" s="110"/>
      <c r="D7" s="110"/>
      <c r="E7" s="110"/>
      <c r="F7" s="110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spans="1:257" ht="12.75" customHeight="1" x14ac:dyDescent="0.45">
      <c r="A8" s="15"/>
      <c r="B8" s="110" t="s">
        <v>171</v>
      </c>
      <c r="C8" s="110"/>
      <c r="D8" s="110"/>
      <c r="E8" s="110"/>
      <c r="F8" s="110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spans="1:257" ht="12.75" customHeight="1" x14ac:dyDescent="0.4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spans="1:257" ht="38.25" customHeight="1" x14ac:dyDescent="0.4">
      <c r="A10" s="90"/>
      <c r="B10" s="91" t="s">
        <v>172</v>
      </c>
      <c r="C10" s="91" t="s">
        <v>173</v>
      </c>
      <c r="D10" s="91" t="s">
        <v>174</v>
      </c>
      <c r="E10" s="91" t="s">
        <v>175</v>
      </c>
      <c r="F10" s="91" t="s">
        <v>176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  <c r="EN10" s="90"/>
      <c r="EO10" s="90"/>
      <c r="EP10" s="90"/>
      <c r="EQ10" s="90"/>
      <c r="ER10" s="90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0"/>
      <c r="FD10" s="90"/>
      <c r="FE10" s="90"/>
      <c r="FF10" s="90"/>
      <c r="FG10" s="90"/>
      <c r="FH10" s="90"/>
      <c r="FI10" s="90"/>
      <c r="FJ10" s="90"/>
      <c r="FK10" s="90"/>
      <c r="FL10" s="90"/>
      <c r="FM10" s="90"/>
      <c r="FN10" s="90"/>
      <c r="FO10" s="90"/>
      <c r="FP10" s="90"/>
      <c r="FQ10" s="90"/>
      <c r="FR10" s="90"/>
      <c r="FS10" s="90"/>
      <c r="FT10" s="90"/>
      <c r="FU10" s="90"/>
      <c r="FV10" s="90"/>
      <c r="FW10" s="90"/>
      <c r="FX10" s="90"/>
      <c r="FY10" s="90"/>
      <c r="FZ10" s="90"/>
      <c r="GA10" s="90"/>
      <c r="GB10" s="90"/>
      <c r="GC10" s="90"/>
      <c r="GD10" s="90"/>
      <c r="GE10" s="90"/>
      <c r="GF10" s="90"/>
      <c r="GG10" s="90"/>
      <c r="GH10" s="90"/>
      <c r="GI10" s="90"/>
      <c r="GJ10" s="90"/>
      <c r="GK10" s="90"/>
      <c r="GL10" s="90"/>
      <c r="GM10" s="90"/>
      <c r="GN10" s="90"/>
      <c r="GO10" s="90"/>
      <c r="GP10" s="90"/>
      <c r="GQ10" s="90"/>
      <c r="GR10" s="90"/>
      <c r="GS10" s="90"/>
      <c r="GT10" s="90"/>
      <c r="GU10" s="90"/>
      <c r="GV10" s="90"/>
      <c r="GW10" s="90"/>
      <c r="GX10" s="90"/>
      <c r="GY10" s="90"/>
      <c r="GZ10" s="90"/>
      <c r="HA10" s="90"/>
      <c r="HB10" s="90"/>
      <c r="HC10" s="90"/>
      <c r="HD10" s="90"/>
      <c r="HE10" s="90"/>
      <c r="HF10" s="90"/>
      <c r="HG10" s="90"/>
      <c r="HH10" s="90"/>
      <c r="HI10" s="90"/>
      <c r="HJ10" s="90"/>
      <c r="HK10" s="90"/>
      <c r="HL10" s="90"/>
      <c r="HM10" s="90"/>
      <c r="HN10" s="90"/>
      <c r="HO10" s="90"/>
      <c r="HP10" s="90"/>
      <c r="HQ10" s="90"/>
      <c r="HR10" s="90"/>
      <c r="HS10" s="90"/>
      <c r="HT10" s="90"/>
      <c r="HU10" s="90"/>
      <c r="HV10" s="90"/>
      <c r="HW10" s="90"/>
      <c r="HX10" s="90"/>
      <c r="HY10" s="90"/>
      <c r="HZ10" s="90"/>
      <c r="IA10" s="90"/>
      <c r="IB10" s="90"/>
      <c r="IC10" s="90"/>
      <c r="ID10" s="90"/>
      <c r="IE10" s="90"/>
      <c r="IF10" s="90"/>
      <c r="IG10" s="90"/>
      <c r="IH10" s="90"/>
      <c r="II10" s="90"/>
      <c r="IJ10" s="90"/>
      <c r="IK10" s="90"/>
      <c r="IL10" s="90"/>
      <c r="IM10" s="90"/>
      <c r="IN10" s="90"/>
      <c r="IO10" s="90"/>
      <c r="IP10" s="90"/>
      <c r="IQ10" s="90"/>
      <c r="IR10" s="90"/>
      <c r="IS10" s="90"/>
      <c r="IT10" s="90"/>
      <c r="IU10" s="90"/>
      <c r="IV10" s="90"/>
      <c r="IW10" s="90"/>
    </row>
    <row r="11" spans="1:257" ht="12.75" customHeight="1" x14ac:dyDescent="0.4">
      <c r="B11" s="92">
        <v>1</v>
      </c>
      <c r="C11" s="93">
        <v>1812</v>
      </c>
      <c r="D11" s="94">
        <f>SUM(C11)</f>
        <v>1812</v>
      </c>
      <c r="E11" s="93">
        <v>1089</v>
      </c>
      <c r="F11" s="95">
        <f>SUM(E11)</f>
        <v>1089</v>
      </c>
    </row>
    <row r="12" spans="1:257" ht="12.75" customHeight="1" x14ac:dyDescent="0.4">
      <c r="B12" s="92">
        <v>2</v>
      </c>
      <c r="C12" s="93">
        <v>15054</v>
      </c>
      <c r="D12" s="94">
        <f>SUM(C11:C12)</f>
        <v>16866</v>
      </c>
      <c r="E12" s="93">
        <v>5064</v>
      </c>
      <c r="F12" s="95">
        <f>SUM(E11:E12)</f>
        <v>6153</v>
      </c>
    </row>
    <row r="13" spans="1:257" ht="12.75" customHeight="1" x14ac:dyDescent="0.4">
      <c r="B13" s="92">
        <v>3</v>
      </c>
      <c r="C13" s="93">
        <v>14626</v>
      </c>
      <c r="D13" s="94">
        <f>SUM(C11:C13)</f>
        <v>31492</v>
      </c>
      <c r="E13" s="93">
        <v>2900</v>
      </c>
      <c r="F13" s="95">
        <f>SUM(E11:E13)</f>
        <v>9053</v>
      </c>
    </row>
    <row r="14" spans="1:257" ht="12.75" customHeight="1" x14ac:dyDescent="0.4">
      <c r="B14" s="92">
        <v>4</v>
      </c>
      <c r="C14" s="93">
        <v>5257</v>
      </c>
      <c r="D14" s="94">
        <f>SUM(C11:C14)</f>
        <v>36749</v>
      </c>
      <c r="E14" s="93">
        <v>0</v>
      </c>
      <c r="F14" s="95">
        <f>SUM(E11:E14)</f>
        <v>9053</v>
      </c>
    </row>
    <row r="15" spans="1:257" ht="12.75" customHeight="1" x14ac:dyDescent="0.4">
      <c r="B15" s="92">
        <v>5</v>
      </c>
      <c r="C15" s="93">
        <v>1779</v>
      </c>
      <c r="D15" s="94">
        <f>SUM(C11:C15)</f>
        <v>38528</v>
      </c>
      <c r="E15" s="93">
        <v>0</v>
      </c>
      <c r="F15" s="95">
        <f>SUM(E11:E15)</f>
        <v>9053</v>
      </c>
    </row>
    <row r="16" spans="1:257" ht="12.75" customHeight="1" x14ac:dyDescent="0.4">
      <c r="B16" s="92"/>
      <c r="C16" s="93"/>
      <c r="D16" s="94"/>
      <c r="E16" s="93"/>
      <c r="F16" s="95"/>
    </row>
    <row r="17" spans="2:6" ht="12.75" customHeight="1" x14ac:dyDescent="0.4">
      <c r="B17" s="92"/>
      <c r="C17" s="93"/>
      <c r="D17" s="94"/>
      <c r="E17" s="93"/>
      <c r="F17" s="95"/>
    </row>
    <row r="18" spans="2:6" ht="12.75" customHeight="1" x14ac:dyDescent="0.4">
      <c r="B18" s="92"/>
      <c r="C18" s="93"/>
      <c r="D18" s="94"/>
      <c r="E18" s="93"/>
      <c r="F18" s="95"/>
    </row>
    <row r="19" spans="2:6" ht="12.75" customHeight="1" x14ac:dyDescent="0.4">
      <c r="B19" s="92"/>
      <c r="C19" s="93"/>
      <c r="D19" s="94"/>
      <c r="E19" s="93"/>
      <c r="F19" s="95"/>
    </row>
    <row r="20" spans="2:6" ht="12.75" customHeight="1" x14ac:dyDescent="0.4">
      <c r="B20" s="92"/>
      <c r="C20" s="93"/>
      <c r="D20" s="94"/>
      <c r="E20" s="93"/>
      <c r="F20" s="95"/>
    </row>
    <row r="21" spans="2:6" ht="12.75" customHeight="1" x14ac:dyDescent="0.4">
      <c r="B21" s="92"/>
      <c r="C21" s="93"/>
      <c r="D21" s="94"/>
      <c r="E21" s="93"/>
      <c r="F21" s="95"/>
    </row>
    <row r="22" spans="2:6" ht="12.75" customHeight="1" x14ac:dyDescent="0.4">
      <c r="B22" s="92"/>
      <c r="C22" s="93"/>
      <c r="D22" s="94"/>
      <c r="E22" s="93"/>
      <c r="F22" s="95"/>
    </row>
    <row r="23" spans="2:6" ht="12.75" customHeight="1" x14ac:dyDescent="0.4">
      <c r="B23" s="92"/>
      <c r="C23" s="93"/>
      <c r="D23" s="94"/>
      <c r="E23" s="93"/>
      <c r="F23" s="95"/>
    </row>
    <row r="24" spans="2:6" ht="12.75" customHeight="1" x14ac:dyDescent="0.4">
      <c r="B24" s="92"/>
      <c r="C24" s="93"/>
      <c r="D24" s="94"/>
      <c r="E24" s="93"/>
      <c r="F24" s="95"/>
    </row>
    <row r="25" spans="2:6" ht="12.75" customHeight="1" x14ac:dyDescent="0.4">
      <c r="B25" s="92"/>
      <c r="C25" s="93"/>
      <c r="D25" s="94"/>
      <c r="E25" s="93"/>
      <c r="F25" s="95"/>
    </row>
    <row r="26" spans="2:6" ht="12.75" customHeight="1" x14ac:dyDescent="0.4">
      <c r="B26" s="92"/>
      <c r="C26" s="93"/>
      <c r="D26" s="94"/>
      <c r="E26" s="93"/>
      <c r="F26" s="95"/>
    </row>
    <row r="27" spans="2:6" ht="12.75" customHeight="1" x14ac:dyDescent="0.4">
      <c r="B27" s="92"/>
      <c r="C27" s="93"/>
      <c r="D27" s="94"/>
      <c r="E27" s="93"/>
      <c r="F27" s="95"/>
    </row>
    <row r="28" spans="2:6" ht="12.75" customHeight="1" x14ac:dyDescent="0.4">
      <c r="B28" s="92"/>
      <c r="C28" s="93"/>
      <c r="D28" s="94"/>
      <c r="E28" s="93"/>
      <c r="F28" s="95"/>
    </row>
    <row r="29" spans="2:6" ht="12.75" customHeight="1" x14ac:dyDescent="0.4">
      <c r="B29" s="92"/>
      <c r="C29" s="93"/>
      <c r="D29" s="94"/>
      <c r="E29" s="93"/>
      <c r="F29" s="95"/>
    </row>
    <row r="30" spans="2:6" ht="12.75" customHeight="1" x14ac:dyDescent="0.4">
      <c r="B30" s="92"/>
      <c r="C30" s="93"/>
      <c r="D30" s="94"/>
      <c r="E30" s="93"/>
      <c r="F30" s="95"/>
    </row>
    <row r="31" spans="2:6" ht="12.75" customHeight="1" x14ac:dyDescent="0.4">
      <c r="B31" s="92"/>
      <c r="C31" s="93"/>
      <c r="D31" s="94"/>
      <c r="E31" s="93"/>
      <c r="F31" s="95"/>
    </row>
    <row r="32" spans="2:6" ht="12.75" customHeight="1" x14ac:dyDescent="0.4">
      <c r="B32" s="92"/>
      <c r="C32" s="93"/>
      <c r="D32" s="94"/>
      <c r="E32" s="93"/>
      <c r="F32" s="95"/>
    </row>
    <row r="33" spans="2:6" ht="12.75" customHeight="1" x14ac:dyDescent="0.4">
      <c r="B33" s="92"/>
      <c r="C33" s="93"/>
      <c r="D33" s="94"/>
      <c r="E33" s="93"/>
      <c r="F33" s="95"/>
    </row>
    <row r="34" spans="2:6" ht="12.75" customHeight="1" x14ac:dyDescent="0.4">
      <c r="B34" s="92"/>
      <c r="C34" s="93"/>
      <c r="D34" s="94"/>
      <c r="E34" s="93"/>
      <c r="F34" s="95"/>
    </row>
    <row r="35" spans="2:6" ht="12.75" customHeight="1" x14ac:dyDescent="0.4">
      <c r="B35" s="92"/>
      <c r="C35" s="93"/>
      <c r="D35" s="94"/>
      <c r="E35" s="93"/>
      <c r="F35" s="95"/>
    </row>
    <row r="36" spans="2:6" ht="12.75" customHeight="1" x14ac:dyDescent="0.4">
      <c r="B36" s="92"/>
      <c r="C36" s="93"/>
      <c r="D36" s="94"/>
      <c r="E36" s="93"/>
      <c r="F36" s="95"/>
    </row>
    <row r="37" spans="2:6" ht="12.75" customHeight="1" x14ac:dyDescent="0.4">
      <c r="B37" s="92"/>
      <c r="C37" s="93"/>
      <c r="D37" s="94"/>
      <c r="E37" s="93"/>
      <c r="F37" s="95"/>
    </row>
    <row r="38" spans="2:6" ht="12.75" customHeight="1" x14ac:dyDescent="0.4">
      <c r="B38" s="92"/>
      <c r="C38" s="93"/>
      <c r="D38" s="94"/>
      <c r="E38" s="93"/>
      <c r="F38" s="95"/>
    </row>
    <row r="39" spans="2:6" ht="12.75" customHeight="1" x14ac:dyDescent="0.4">
      <c r="B39" s="92"/>
      <c r="C39" s="93"/>
      <c r="D39" s="94"/>
      <c r="E39" s="93"/>
      <c r="F39" s="95"/>
    </row>
    <row r="40" spans="2:6" ht="12.75" customHeight="1" x14ac:dyDescent="0.4">
      <c r="B40" s="92"/>
      <c r="C40" s="93"/>
      <c r="D40" s="94"/>
      <c r="E40" s="93"/>
      <c r="F40" s="95"/>
    </row>
    <row r="41" spans="2:6" ht="12.75" customHeight="1" x14ac:dyDescent="0.4">
      <c r="B41" s="92"/>
      <c r="C41" s="93"/>
      <c r="D41" s="94"/>
      <c r="E41" s="93"/>
      <c r="F41" s="95"/>
    </row>
    <row r="42" spans="2:6" ht="12.75" customHeight="1" x14ac:dyDescent="0.4">
      <c r="B42" s="92"/>
      <c r="C42" s="93"/>
      <c r="D42" s="94"/>
      <c r="E42" s="93"/>
      <c r="F42" s="95"/>
    </row>
    <row r="43" spans="2:6" ht="12.75" customHeight="1" x14ac:dyDescent="0.4">
      <c r="B43" s="92"/>
      <c r="C43" s="93"/>
      <c r="D43" s="94"/>
      <c r="E43" s="93"/>
      <c r="F43" s="95"/>
    </row>
    <row r="44" spans="2:6" ht="12.75" customHeight="1" x14ac:dyDescent="0.4">
      <c r="B44" s="92"/>
      <c r="C44" s="93"/>
      <c r="D44" s="94"/>
      <c r="E44" s="93"/>
      <c r="F44" s="95"/>
    </row>
    <row r="45" spans="2:6" ht="12.75" customHeight="1" x14ac:dyDescent="0.4">
      <c r="B45" s="92"/>
      <c r="C45" s="93"/>
      <c r="D45" s="94"/>
      <c r="E45" s="93"/>
      <c r="F45" s="95"/>
    </row>
    <row r="46" spans="2:6" ht="12.75" customHeight="1" x14ac:dyDescent="0.4">
      <c r="B46" s="92"/>
      <c r="C46" s="93"/>
      <c r="D46" s="94"/>
      <c r="E46" s="93"/>
      <c r="F46" s="95"/>
    </row>
    <row r="47" spans="2:6" ht="12.75" customHeight="1" x14ac:dyDescent="0.4">
      <c r="B47" s="92"/>
      <c r="C47" s="93"/>
      <c r="D47" s="94"/>
      <c r="E47" s="93"/>
      <c r="F47" s="95"/>
    </row>
    <row r="48" spans="2:6" ht="12.75" customHeight="1" x14ac:dyDescent="0.4">
      <c r="B48" s="92"/>
      <c r="C48" s="93"/>
      <c r="D48" s="94"/>
      <c r="E48" s="93"/>
      <c r="F48" s="95"/>
    </row>
    <row r="49" spans="2:6" ht="12.75" customHeight="1" x14ac:dyDescent="0.4">
      <c r="B49" s="92"/>
      <c r="C49" s="93"/>
      <c r="D49" s="94"/>
      <c r="E49" s="93"/>
      <c r="F49" s="95"/>
    </row>
    <row r="50" spans="2:6" ht="12.75" customHeight="1" x14ac:dyDescent="0.4">
      <c r="B50" s="92"/>
      <c r="C50" s="93"/>
      <c r="D50" s="94"/>
      <c r="E50" s="93"/>
      <c r="F50" s="95"/>
    </row>
    <row r="51" spans="2:6" ht="12.75" customHeight="1" x14ac:dyDescent="0.4">
      <c r="B51" s="92"/>
      <c r="C51" s="93"/>
      <c r="D51" s="94"/>
      <c r="E51" s="93"/>
      <c r="F51" s="95"/>
    </row>
    <row r="52" spans="2:6" ht="12.75" customHeight="1" x14ac:dyDescent="0.4">
      <c r="B52" s="92"/>
      <c r="C52" s="93"/>
      <c r="D52" s="94"/>
      <c r="E52" s="93"/>
      <c r="F52" s="95"/>
    </row>
    <row r="53" spans="2:6" ht="12.75" customHeight="1" x14ac:dyDescent="0.4">
      <c r="B53" s="92"/>
      <c r="C53" s="93"/>
      <c r="D53" s="94"/>
      <c r="E53" s="93"/>
      <c r="F53" s="95"/>
    </row>
    <row r="54" spans="2:6" ht="12.75" customHeight="1" x14ac:dyDescent="0.4">
      <c r="B54" s="92"/>
      <c r="C54" s="93"/>
      <c r="D54" s="94"/>
      <c r="E54" s="93"/>
      <c r="F54" s="95"/>
    </row>
    <row r="55" spans="2:6" ht="12.75" customHeight="1" x14ac:dyDescent="0.4">
      <c r="B55" s="92"/>
      <c r="C55" s="93"/>
      <c r="D55" s="94"/>
      <c r="E55" s="93"/>
      <c r="F55" s="95"/>
    </row>
    <row r="56" spans="2:6" ht="12.75" customHeight="1" x14ac:dyDescent="0.4">
      <c r="B56" s="92"/>
      <c r="C56" s="93"/>
      <c r="D56" s="94"/>
      <c r="E56" s="93"/>
      <c r="F56" s="95"/>
    </row>
    <row r="57" spans="2:6" ht="12.75" customHeight="1" x14ac:dyDescent="0.4">
      <c r="B57" s="92"/>
      <c r="C57" s="93"/>
      <c r="D57" s="94"/>
      <c r="E57" s="93"/>
      <c r="F57" s="95"/>
    </row>
    <row r="58" spans="2:6" ht="12.75" customHeight="1" x14ac:dyDescent="0.4">
      <c r="B58" s="92"/>
      <c r="C58" s="93"/>
      <c r="D58" s="94"/>
      <c r="E58" s="93"/>
      <c r="F58" s="95"/>
    </row>
    <row r="59" spans="2:6" ht="12.75" customHeight="1" x14ac:dyDescent="0.4">
      <c r="B59" s="92"/>
      <c r="C59" s="93"/>
      <c r="D59" s="94"/>
      <c r="E59" s="93"/>
      <c r="F59" s="95"/>
    </row>
    <row r="60" spans="2:6" ht="12.75" customHeight="1" x14ac:dyDescent="0.4">
      <c r="B60" s="92"/>
      <c r="C60" s="93"/>
      <c r="D60" s="94"/>
      <c r="E60" s="93"/>
      <c r="F60" s="95"/>
    </row>
    <row r="61" spans="2:6" ht="12.75" customHeight="1" x14ac:dyDescent="0.4">
      <c r="B61" s="92"/>
      <c r="C61" s="93"/>
      <c r="D61" s="94"/>
      <c r="E61" s="93"/>
      <c r="F61" s="95"/>
    </row>
    <row r="62" spans="2:6" ht="12.75" customHeight="1" x14ac:dyDescent="0.4">
      <c r="B62" s="92"/>
      <c r="C62" s="93"/>
      <c r="D62" s="94"/>
      <c r="E62" s="93"/>
      <c r="F62" s="95"/>
    </row>
    <row r="63" spans="2:6" ht="12.75" customHeight="1" x14ac:dyDescent="0.4">
      <c r="B63" s="92"/>
      <c r="C63" s="93"/>
      <c r="D63" s="94"/>
      <c r="E63" s="93"/>
      <c r="F63" s="95"/>
    </row>
    <row r="64" spans="2:6" ht="12.75" customHeight="1" x14ac:dyDescent="0.4">
      <c r="B64" s="92"/>
      <c r="C64" s="93"/>
      <c r="D64" s="94"/>
      <c r="E64" s="93"/>
      <c r="F64" s="95"/>
    </row>
    <row r="65" spans="2:6" ht="12.75" customHeight="1" x14ac:dyDescent="0.4">
      <c r="B65" s="92"/>
      <c r="C65" s="93"/>
      <c r="D65" s="94"/>
      <c r="E65" s="93"/>
      <c r="F65" s="95"/>
    </row>
    <row r="66" spans="2:6" ht="12.75" customHeight="1" x14ac:dyDescent="0.4">
      <c r="B66" s="92"/>
      <c r="C66" s="93"/>
      <c r="D66" s="94"/>
      <c r="E66" s="93"/>
      <c r="F66" s="95"/>
    </row>
    <row r="67" spans="2:6" ht="12.75" customHeight="1" x14ac:dyDescent="0.4">
      <c r="B67" s="92"/>
      <c r="C67" s="93"/>
      <c r="D67" s="94"/>
      <c r="E67" s="93"/>
      <c r="F67" s="95"/>
    </row>
    <row r="68" spans="2:6" ht="12.75" customHeight="1" x14ac:dyDescent="0.4">
      <c r="B68" s="92"/>
      <c r="C68" s="93"/>
      <c r="D68" s="94"/>
      <c r="E68" s="93"/>
      <c r="F68" s="95"/>
    </row>
    <row r="69" spans="2:6" ht="12.75" customHeight="1" x14ac:dyDescent="0.4">
      <c r="B69" s="92"/>
      <c r="C69" s="93"/>
      <c r="D69" s="94"/>
      <c r="E69" s="93"/>
      <c r="F69" s="95"/>
    </row>
    <row r="70" spans="2:6" ht="12.75" customHeight="1" x14ac:dyDescent="0.4">
      <c r="B70" s="92"/>
      <c r="C70" s="93"/>
      <c r="D70" s="94"/>
      <c r="E70" s="93"/>
      <c r="F70" s="95"/>
    </row>
    <row r="71" spans="2:6" ht="12.75" customHeight="1" x14ac:dyDescent="0.4">
      <c r="B71" s="92"/>
      <c r="C71" s="93"/>
      <c r="D71" s="94"/>
      <c r="E71" s="93"/>
      <c r="F71" s="95"/>
    </row>
    <row r="72" spans="2:6" ht="12.75" customHeight="1" x14ac:dyDescent="0.4">
      <c r="B72" s="92"/>
      <c r="C72" s="93"/>
      <c r="D72" s="94"/>
      <c r="E72" s="93"/>
      <c r="F72" s="95"/>
    </row>
    <row r="73" spans="2:6" ht="12.75" customHeight="1" x14ac:dyDescent="0.4">
      <c r="B73" s="92"/>
      <c r="C73" s="93"/>
      <c r="D73" s="94"/>
      <c r="E73" s="93"/>
      <c r="F73" s="95"/>
    </row>
    <row r="74" spans="2:6" ht="12.75" customHeight="1" x14ac:dyDescent="0.4">
      <c r="B74" s="92"/>
      <c r="C74" s="93"/>
      <c r="D74" s="94"/>
      <c r="E74" s="93"/>
      <c r="F74" s="95"/>
    </row>
    <row r="75" spans="2:6" ht="12.75" customHeight="1" x14ac:dyDescent="0.4">
      <c r="B75" s="92"/>
      <c r="C75" s="93"/>
      <c r="D75" s="94"/>
      <c r="E75" s="93"/>
      <c r="F75" s="95"/>
    </row>
    <row r="76" spans="2:6" ht="12.75" customHeight="1" x14ac:dyDescent="0.4">
      <c r="B76" s="92"/>
      <c r="C76" s="93"/>
      <c r="D76" s="94"/>
      <c r="E76" s="93"/>
      <c r="F76" s="95"/>
    </row>
    <row r="77" spans="2:6" ht="12.75" customHeight="1" x14ac:dyDescent="0.4">
      <c r="B77" s="92"/>
      <c r="C77" s="93"/>
      <c r="D77" s="94"/>
      <c r="E77" s="93"/>
      <c r="F77" s="95"/>
    </row>
    <row r="78" spans="2:6" ht="12.75" customHeight="1" x14ac:dyDescent="0.4">
      <c r="B78" s="92"/>
      <c r="C78" s="93"/>
      <c r="D78" s="94"/>
      <c r="E78" s="93"/>
      <c r="F78" s="95"/>
    </row>
    <row r="79" spans="2:6" ht="12.75" customHeight="1" x14ac:dyDescent="0.4">
      <c r="B79" s="92"/>
      <c r="C79" s="93"/>
      <c r="D79" s="94"/>
      <c r="E79" s="93"/>
      <c r="F79" s="95"/>
    </row>
    <row r="80" spans="2:6" ht="12.75" customHeight="1" x14ac:dyDescent="0.4">
      <c r="B80" s="92"/>
      <c r="C80" s="93"/>
      <c r="D80" s="94"/>
      <c r="E80" s="93"/>
      <c r="F80" s="95"/>
    </row>
    <row r="81" spans="2:6" ht="12.75" customHeight="1" x14ac:dyDescent="0.4">
      <c r="B81" s="92"/>
      <c r="C81" s="93"/>
      <c r="D81" s="94"/>
      <c r="E81" s="93"/>
      <c r="F81" s="95"/>
    </row>
    <row r="82" spans="2:6" ht="12.75" customHeight="1" x14ac:dyDescent="0.4">
      <c r="B82" s="92"/>
      <c r="C82" s="93"/>
      <c r="D82" s="94"/>
      <c r="E82" s="93"/>
      <c r="F82" s="95"/>
    </row>
    <row r="83" spans="2:6" ht="12.75" customHeight="1" x14ac:dyDescent="0.4">
      <c r="B83" s="96"/>
      <c r="C83" s="97"/>
      <c r="D83" s="94"/>
      <c r="E83" s="93"/>
      <c r="F83" s="95"/>
    </row>
    <row r="84" spans="2:6" ht="12.75" customHeight="1" x14ac:dyDescent="0.4">
      <c r="B84" s="96"/>
      <c r="C84" s="97"/>
      <c r="D84" s="94"/>
      <c r="E84" s="93"/>
      <c r="F84" s="95"/>
    </row>
    <row r="85" spans="2:6" ht="12.75" customHeight="1" x14ac:dyDescent="0.4">
      <c r="B85" s="96"/>
      <c r="C85" s="97"/>
      <c r="D85" s="94"/>
      <c r="E85" s="93"/>
      <c r="F85" s="95"/>
    </row>
    <row r="86" spans="2:6" ht="12.75" customHeight="1" x14ac:dyDescent="0.4">
      <c r="B86" s="96"/>
      <c r="C86" s="97"/>
      <c r="D86" s="94"/>
      <c r="E86" s="93"/>
      <c r="F86" s="95"/>
    </row>
    <row r="87" spans="2:6" ht="12.75" customHeight="1" x14ac:dyDescent="0.4">
      <c r="B87" s="96"/>
      <c r="C87" s="97"/>
      <c r="D87" s="94"/>
      <c r="E87" s="93"/>
      <c r="F87" s="95"/>
    </row>
    <row r="88" spans="2:6" ht="12.75" customHeight="1" x14ac:dyDescent="0.4">
      <c r="B88" s="96"/>
      <c r="C88" s="97"/>
      <c r="D88" s="94"/>
      <c r="E88" s="93"/>
      <c r="F88" s="95"/>
    </row>
    <row r="89" spans="2:6" ht="12.75" customHeight="1" x14ac:dyDescent="0.4">
      <c r="B89" s="96"/>
      <c r="C89" s="97"/>
      <c r="D89" s="94"/>
      <c r="E89" s="93"/>
      <c r="F89" s="95"/>
    </row>
    <row r="90" spans="2:6" ht="12.75" customHeight="1" x14ac:dyDescent="0.4">
      <c r="B90" s="96"/>
      <c r="C90" s="97"/>
      <c r="D90" s="94"/>
      <c r="E90" s="93"/>
      <c r="F90" s="95"/>
    </row>
    <row r="91" spans="2:6" ht="12.75" customHeight="1" x14ac:dyDescent="0.4">
      <c r="B91" s="96"/>
      <c r="C91" s="97"/>
      <c r="D91" s="94"/>
      <c r="E91" s="93"/>
      <c r="F91" s="95"/>
    </row>
    <row r="92" spans="2:6" ht="12.75" customHeight="1" x14ac:dyDescent="0.4">
      <c r="B92" s="96"/>
      <c r="C92" s="97"/>
      <c r="D92" s="94"/>
      <c r="E92" s="93"/>
      <c r="F92" s="95"/>
    </row>
    <row r="93" spans="2:6" ht="12.75" customHeight="1" x14ac:dyDescent="0.4">
      <c r="B93" s="96"/>
      <c r="C93" s="97"/>
      <c r="D93" s="94"/>
      <c r="E93" s="93"/>
      <c r="F93" s="95"/>
    </row>
    <row r="94" spans="2:6" ht="12.75" customHeight="1" x14ac:dyDescent="0.4">
      <c r="B94" s="96"/>
      <c r="C94" s="97"/>
      <c r="D94" s="94"/>
      <c r="E94" s="93"/>
      <c r="F94" s="95"/>
    </row>
    <row r="95" spans="2:6" ht="12.75" customHeight="1" x14ac:dyDescent="0.4">
      <c r="B95" s="96"/>
      <c r="C95" s="97"/>
      <c r="D95" s="94"/>
      <c r="E95" s="93"/>
      <c r="F95" s="95"/>
    </row>
    <row r="96" spans="2:6" ht="12.75" customHeight="1" x14ac:dyDescent="0.4">
      <c r="B96" s="96"/>
      <c r="C96" s="97"/>
      <c r="D96" s="94"/>
      <c r="E96" s="93"/>
      <c r="F96" s="95"/>
    </row>
    <row r="97" spans="2:6" ht="12.75" customHeight="1" x14ac:dyDescent="0.4">
      <c r="B97" s="96"/>
      <c r="C97" s="97"/>
      <c r="D97" s="94"/>
      <c r="E97" s="93"/>
      <c r="F97" s="95"/>
    </row>
    <row r="98" spans="2:6" ht="12.75" customHeight="1" x14ac:dyDescent="0.4">
      <c r="B98" s="98"/>
      <c r="C98" s="99"/>
      <c r="D98" s="100"/>
      <c r="E98" s="101"/>
      <c r="F98" s="102"/>
    </row>
    <row r="100" spans="2:6" ht="12.75" customHeight="1" x14ac:dyDescent="0.4">
      <c r="B100" s="114"/>
      <c r="C100" s="114"/>
      <c r="D100" s="114"/>
    </row>
  </sheetData>
  <mergeCells count="8">
    <mergeCell ref="B7:F7"/>
    <mergeCell ref="B8:F8"/>
    <mergeCell ref="B100:D100"/>
    <mergeCell ref="B2:F2"/>
    <mergeCell ref="B3:F3"/>
    <mergeCell ref="B4:F4"/>
    <mergeCell ref="B5:F5"/>
    <mergeCell ref="B6:F6"/>
  </mergeCells>
  <pageMargins left="0.75" right="0.75" top="1" bottom="1" header="0.5" footer="0.5"/>
  <pageSetup orientation="portrait" horizontalDpi="300" verticalDpi="300"/>
  <headerFooter>
    <oddHeader>&amp;LPut your logo here&amp;C&amp;"Arial,Bold"&amp;14 Project Budget Template&amp;R&amp;"Arial,Bold"&amp;12 Your Organization_x005F_x000a_Name Here</oddHeader>
    <oddFooter>&amp;L&amp;8 Template: Project Budget Template [Rel. 2.1 8-30-04]&amp;CPage &amp;P of &amp;N&amp;RPrint Date: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Fuentes de Costos del Proyecto</vt:lpstr>
      <vt:lpstr>Costos a lo largo del tiempo</vt:lpstr>
      <vt:lpstr>Costos por Sprint</vt:lpstr>
      <vt:lpstr>Costo Acumulado del Proyecto</vt:lpstr>
      <vt:lpstr>Hoja de Datos</vt:lpstr>
      <vt:lpstr>'Fuentes de Costos del Proyecto'!_ftn1</vt:lpstr>
      <vt:lpstr>'Fuentes de Costos del Proyecto'!_ftnref1</vt:lpstr>
      <vt:lpstr>'Hoja de Datos'!Área_de_impresión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del Proyecto</dc:title>
  <dc:subject/>
  <dc:creator>hbravo-consultorge@innovacion.gob.pa</dc:creator>
  <cp:keywords>Budget Cumulative Cost </cp:keywords>
  <dc:description>Template history: Origin - partially from www.pmo.state.mn.us   Modified for City of Raleigh  Enterprise PMO. Copyright 2006 CVR/IT Consulting LLC.  All Rights Reserved.  No portion of this document may be used, reproduced or distributed without a valid license.  For license information see www.cvr-it.com or contact info@cvr-it.com.  Retain this notice in this Comments box.</dc:description>
  <cp:lastModifiedBy>Gabriel Landa</cp:lastModifiedBy>
  <cp:revision>2</cp:revision>
  <cp:lastPrinted>2008-04-17T19:15:32Z</cp:lastPrinted>
  <dcterms:created xsi:type="dcterms:W3CDTF">2003-01-15T11:30:27Z</dcterms:created>
  <dcterms:modified xsi:type="dcterms:W3CDTF">2026-05-08T22:22:53Z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FWJASSSE55TN-275-101</vt:lpwstr>
  </property>
  <property fmtid="{D5CDD505-2E9C-101B-9397-08002B2CF9AE}" pid="3" name="_dlc_DocIdItemGuid">
    <vt:lpwstr>d707aaba-0938-4712-935e-3c52268454de</vt:lpwstr>
  </property>
  <property fmtid="{D5CDD505-2E9C-101B-9397-08002B2CF9AE}" pid="4" name="_dlc_DocIdUrl">
    <vt:lpwstr>https://portal.smrey.net/areas/it/_layouts/15/DocIdRedir.aspx?ID=FWJASSSE55TN-275-101, FWJASSSE55TN-275-101</vt:lpwstr>
  </property>
</Properties>
</file>